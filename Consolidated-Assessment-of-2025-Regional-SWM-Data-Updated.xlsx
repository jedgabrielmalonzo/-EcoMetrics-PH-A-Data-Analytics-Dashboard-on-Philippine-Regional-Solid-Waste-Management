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asti\OneDrive - Environmental Management Bureau\2025\"/>
    </mc:Choice>
  </mc:AlternateContent>
  <xr:revisionPtr revIDLastSave="0" documentId="13_ncr:1_{3636819E-9C01-4606-9CA3-BF8545218B90}" xr6:coauthVersionLast="47" xr6:coauthVersionMax="47" xr10:uidLastSave="{00000000-0000-0000-0000-000000000000}"/>
  <bookViews>
    <workbookView xWindow="-110" yWindow="-110" windowWidth="25820" windowHeight="15500" xr2:uid="{F0935CBB-ED80-4705-87D5-30594B875175}"/>
  </bookViews>
  <sheets>
    <sheet name="Consolidated" sheetId="17" r:id="rId1"/>
    <sheet name="Co-processing Facilitiy" sheetId="18" r:id="rId2"/>
    <sheet name="WTE Facilities (Biodegradable)" sheetId="19" r:id="rId3"/>
    <sheet name="WTE Facilities (Residual)" sheetId="20" r:id="rId4"/>
    <sheet name="Other Technologies" sheetId="2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5" i="17" l="1"/>
  <c r="P115" i="17"/>
  <c r="O115" i="17"/>
  <c r="N115" i="17"/>
  <c r="M115" i="17"/>
  <c r="L115" i="17"/>
  <c r="J115" i="17"/>
  <c r="I115" i="17"/>
  <c r="H115" i="17"/>
  <c r="K115" i="17"/>
  <c r="F115" i="17"/>
  <c r="G115" i="17"/>
  <c r="D115" i="17"/>
  <c r="C115" i="17"/>
  <c r="E115" i="17"/>
  <c r="C13" i="17"/>
  <c r="P13" i="17"/>
  <c r="O13" i="17"/>
  <c r="N13" i="17"/>
  <c r="M13" i="17"/>
  <c r="L13" i="17"/>
  <c r="J13" i="17"/>
  <c r="I13" i="17"/>
  <c r="H13" i="17"/>
  <c r="F13" i="17"/>
  <c r="D13" i="17"/>
  <c r="E19" i="17"/>
  <c r="G19" i="17"/>
  <c r="H19" i="17"/>
  <c r="I19" i="17"/>
  <c r="J19" i="17"/>
  <c r="L19" i="17"/>
  <c r="M19" i="17"/>
  <c r="N19" i="17"/>
  <c r="O19" i="17"/>
  <c r="P19" i="17"/>
  <c r="I106" i="17"/>
  <c r="I113" i="17"/>
  <c r="I65" i="17"/>
  <c r="I93" i="17"/>
  <c r="H100" i="17"/>
  <c r="I100" i="17"/>
  <c r="G100" i="17"/>
  <c r="E100" i="17"/>
  <c r="C93" i="17"/>
  <c r="C86" i="17"/>
  <c r="Q113" i="17"/>
  <c r="P113" i="17"/>
  <c r="O113" i="17"/>
  <c r="N113" i="17"/>
  <c r="M113" i="17"/>
  <c r="L113" i="17"/>
  <c r="J113" i="17"/>
  <c r="H113" i="17"/>
  <c r="F113" i="17"/>
  <c r="D113" i="17"/>
  <c r="C113" i="17"/>
  <c r="P106" i="17"/>
  <c r="O106" i="17"/>
  <c r="N106" i="17"/>
  <c r="M106" i="17"/>
  <c r="L106" i="17"/>
  <c r="J106" i="17"/>
  <c r="H106" i="17"/>
  <c r="F106" i="17"/>
  <c r="D106" i="17"/>
  <c r="C106" i="17"/>
  <c r="Q100" i="17"/>
  <c r="P100" i="17"/>
  <c r="O100" i="17"/>
  <c r="N100" i="17"/>
  <c r="M100" i="17"/>
  <c r="L100" i="17"/>
  <c r="J100" i="17"/>
  <c r="F100" i="17"/>
  <c r="D100" i="17"/>
  <c r="C100" i="17"/>
  <c r="Q93" i="17"/>
  <c r="P93" i="17"/>
  <c r="O93" i="17"/>
  <c r="N93" i="17"/>
  <c r="M93" i="17"/>
  <c r="L93" i="17"/>
  <c r="J93" i="17"/>
  <c r="H93" i="17"/>
  <c r="F93" i="17"/>
  <c r="D93" i="17"/>
  <c r="P86" i="17"/>
  <c r="O86" i="17"/>
  <c r="N86" i="17"/>
  <c r="M86" i="17"/>
  <c r="L86" i="17"/>
  <c r="J86" i="17"/>
  <c r="I86" i="17"/>
  <c r="H86" i="17"/>
  <c r="F86" i="17"/>
  <c r="D86" i="17"/>
  <c r="Q79" i="17"/>
  <c r="P79" i="17"/>
  <c r="O79" i="17"/>
  <c r="N79" i="17"/>
  <c r="M79" i="17"/>
  <c r="L79" i="17"/>
  <c r="K49" i="17"/>
  <c r="K57" i="17"/>
  <c r="K65" i="17"/>
  <c r="K71" i="17"/>
  <c r="K78" i="17"/>
  <c r="K77" i="17"/>
  <c r="K76" i="17"/>
  <c r="K75" i="17"/>
  <c r="K74" i="17"/>
  <c r="K42" i="17"/>
  <c r="K35" i="17"/>
  <c r="K4" i="17"/>
  <c r="K73" i="17"/>
  <c r="J79" i="17"/>
  <c r="I79" i="17"/>
  <c r="H79" i="17"/>
  <c r="F79" i="17"/>
  <c r="D79" i="17"/>
  <c r="C79" i="17"/>
  <c r="P71" i="17"/>
  <c r="O71" i="17"/>
  <c r="N71" i="17"/>
  <c r="M71" i="17"/>
  <c r="L71" i="17"/>
  <c r="J71" i="17"/>
  <c r="I71" i="17"/>
  <c r="H71" i="17"/>
  <c r="H65" i="17"/>
  <c r="F71" i="17"/>
  <c r="D71" i="17"/>
  <c r="C71" i="17"/>
  <c r="Q4" i="17"/>
  <c r="Q35" i="17"/>
  <c r="Q42" i="17"/>
  <c r="Q49" i="17"/>
  <c r="Q65" i="17"/>
  <c r="P65" i="17"/>
  <c r="O65" i="17"/>
  <c r="N65" i="17"/>
  <c r="M65" i="17"/>
  <c r="L65" i="17"/>
  <c r="J65" i="17"/>
  <c r="F65" i="17"/>
  <c r="D65" i="17"/>
  <c r="C65" i="17"/>
  <c r="Q57" i="17"/>
  <c r="P57" i="17"/>
  <c r="O57" i="17"/>
  <c r="N57" i="17"/>
  <c r="M57" i="17"/>
  <c r="L57" i="17"/>
  <c r="J57" i="17"/>
  <c r="I57" i="17"/>
  <c r="H57" i="17"/>
  <c r="F57" i="17"/>
  <c r="D57" i="17"/>
  <c r="C57" i="17"/>
  <c r="P49" i="17"/>
  <c r="O49" i="17"/>
  <c r="N49" i="17"/>
  <c r="M49" i="17"/>
  <c r="L49" i="17"/>
  <c r="J49" i="17"/>
  <c r="I49" i="17"/>
  <c r="H49" i="17"/>
  <c r="F49" i="17"/>
  <c r="D49" i="17"/>
  <c r="C49" i="17"/>
  <c r="P42" i="17"/>
  <c r="O42" i="17"/>
  <c r="N42" i="17"/>
  <c r="M42" i="17"/>
  <c r="L42" i="17"/>
  <c r="J42" i="17"/>
  <c r="I42" i="17"/>
  <c r="H42" i="17"/>
  <c r="F42" i="17"/>
  <c r="D42" i="17"/>
  <c r="C42" i="17"/>
  <c r="P35" i="17"/>
  <c r="O35" i="17"/>
  <c r="N35" i="17"/>
  <c r="M35" i="17"/>
  <c r="L35" i="17"/>
  <c r="J35" i="17"/>
  <c r="I35" i="17"/>
  <c r="H26" i="17"/>
  <c r="H35" i="17"/>
  <c r="F35" i="17"/>
  <c r="D35" i="17"/>
  <c r="C35" i="17"/>
  <c r="E22" i="17"/>
  <c r="E23" i="17"/>
  <c r="E24" i="17"/>
  <c r="E25" i="17"/>
  <c r="E21" i="17"/>
  <c r="P26" i="17"/>
  <c r="O26" i="17"/>
  <c r="N26" i="17"/>
  <c r="M26" i="17"/>
  <c r="L26" i="17"/>
  <c r="J26" i="17"/>
  <c r="I26" i="17"/>
  <c r="F26" i="17"/>
  <c r="D26" i="17"/>
  <c r="C26" i="17"/>
  <c r="I4" i="17"/>
  <c r="J4" i="17"/>
  <c r="L4" i="17"/>
  <c r="M4" i="17"/>
  <c r="N4" i="17"/>
  <c r="O4" i="17"/>
  <c r="P4" i="17"/>
  <c r="H4" i="17"/>
  <c r="E13" i="17" l="1"/>
  <c r="G13" i="17"/>
  <c r="K19" i="17"/>
  <c r="K26" i="17"/>
  <c r="E79" i="17"/>
  <c r="K79" i="17"/>
  <c r="G79" i="17"/>
  <c r="G86" i="17"/>
  <c r="G106" i="17"/>
  <c r="E93" i="17"/>
  <c r="E113" i="17"/>
  <c r="G93" i="17"/>
  <c r="G113" i="17"/>
  <c r="K93" i="17"/>
  <c r="K100" i="17"/>
  <c r="E71" i="17"/>
  <c r="E106" i="17"/>
  <c r="K86" i="17"/>
  <c r="K113" i="17"/>
  <c r="G71" i="17"/>
  <c r="E65" i="17"/>
  <c r="G65" i="17"/>
  <c r="G57" i="17"/>
  <c r="E57" i="17"/>
  <c r="G49" i="17"/>
  <c r="E49" i="17"/>
  <c r="E42" i="17"/>
  <c r="G42" i="17"/>
  <c r="E35" i="17"/>
  <c r="G35" i="17"/>
  <c r="E26" i="17"/>
  <c r="G26" i="17"/>
</calcChain>
</file>

<file path=xl/sharedStrings.xml><?xml version="1.0" encoding="utf-8"?>
<sst xmlns="http://schemas.openxmlformats.org/spreadsheetml/2006/main" count="1074" uniqueCount="397">
  <si>
    <t>Assessment of 2025 Regional Solid Waste Management (SWM) Data</t>
  </si>
  <si>
    <t>Name of Province</t>
  </si>
  <si>
    <t>Total LGUs</t>
  </si>
  <si>
    <t>Total LGUs implementing Segregation at Source (no.)</t>
  </si>
  <si>
    <t>Total LGUs implementing Segregated Collection (no.)</t>
  </si>
  <si>
    <t>Percentage of LGUs implementing Segregated Collection (%)</t>
  </si>
  <si>
    <t>Percentage of LGUs implementing Segregation at Source (%)</t>
  </si>
  <si>
    <t>Metro Manila</t>
  </si>
  <si>
    <t>Total per Region:</t>
  </si>
  <si>
    <t>Region</t>
  </si>
  <si>
    <t>NCR</t>
  </si>
  <si>
    <t>CAR</t>
  </si>
  <si>
    <t>-</t>
  </si>
  <si>
    <t>R1</t>
  </si>
  <si>
    <t>R2</t>
  </si>
  <si>
    <t>R3</t>
  </si>
  <si>
    <t>R4A</t>
  </si>
  <si>
    <t>R4B</t>
  </si>
  <si>
    <t>R5</t>
  </si>
  <si>
    <t>R6</t>
  </si>
  <si>
    <t>R7</t>
  </si>
  <si>
    <t>R8</t>
  </si>
  <si>
    <t>Ilocos Norte</t>
  </si>
  <si>
    <t>Ilocos Sur</t>
  </si>
  <si>
    <t>La Union</t>
  </si>
  <si>
    <t>Pangasinan</t>
  </si>
  <si>
    <t>Actual Waste Generation per Province in 2025 (tons/year)</t>
  </si>
  <si>
    <t>Waste Collected for Co-Processing in 2025 (tons/year)</t>
  </si>
  <si>
    <t>Waste Collected for Recovery in MRF/S in 2025 (tons/year)</t>
  </si>
  <si>
    <t>Total Waste Collected for Diversion in 2025 in the Region</t>
  </si>
  <si>
    <t>Waste Generation per Province in 2025 (tons/year)</t>
  </si>
  <si>
    <t>Actual Waste Collected and brought to SLF per province in 2025 (tons/year)</t>
  </si>
  <si>
    <t>Actual Waste Collected to RCA per province in 2025 (tons/year)</t>
  </si>
  <si>
    <t>Actual Waste Collected and brought to WTE facility per province in 2025 (tons/year)</t>
  </si>
  <si>
    <t>Total Waste Collected and Disposed in 2025</t>
  </si>
  <si>
    <t>Waste Collected efficiency (%)</t>
  </si>
  <si>
    <t>Batanes</t>
  </si>
  <si>
    <t>Cagayan</t>
  </si>
  <si>
    <t>Isabela</t>
  </si>
  <si>
    <t>Nueva Vizcaya</t>
  </si>
  <si>
    <t>Quirino</t>
  </si>
  <si>
    <t>Aurora</t>
  </si>
  <si>
    <t>Bataan</t>
  </si>
  <si>
    <t>Bulacan</t>
  </si>
  <si>
    <t>Nueva Ecija</t>
  </si>
  <si>
    <t>Pampanga</t>
  </si>
  <si>
    <t>Tarlac</t>
  </si>
  <si>
    <t>Zambales</t>
  </si>
  <si>
    <t>Cavite</t>
  </si>
  <si>
    <t>Laguna</t>
  </si>
  <si>
    <t>Batangas</t>
  </si>
  <si>
    <t>Rizal</t>
  </si>
  <si>
    <t>Quezon</t>
  </si>
  <si>
    <t>Oriental Mindoro</t>
  </si>
  <si>
    <t>Occidental Mindoro</t>
  </si>
  <si>
    <t>Marinduque</t>
  </si>
  <si>
    <t>Romblon</t>
  </si>
  <si>
    <t>Palawan</t>
  </si>
  <si>
    <t>Albay</t>
  </si>
  <si>
    <t>Camarines Norte</t>
  </si>
  <si>
    <t>Camarines Sur</t>
  </si>
  <si>
    <t>Catanduanes</t>
  </si>
  <si>
    <t>Masbate</t>
  </si>
  <si>
    <t>Sorsogon</t>
  </si>
  <si>
    <t>73.792.44</t>
  </si>
  <si>
    <t>Aklan</t>
  </si>
  <si>
    <t>Antique</t>
  </si>
  <si>
    <t>Capiz</t>
  </si>
  <si>
    <t>Guimaras</t>
  </si>
  <si>
    <t>Iloilo</t>
  </si>
  <si>
    <t>Negros Occidental</t>
  </si>
  <si>
    <t>Cebu</t>
  </si>
  <si>
    <t>Bohol</t>
  </si>
  <si>
    <t>Negros Oriental</t>
  </si>
  <si>
    <t>Siquijor</t>
  </si>
  <si>
    <t>Biliran</t>
  </si>
  <si>
    <t>Eastern Samar</t>
  </si>
  <si>
    <t>Leyte</t>
  </si>
  <si>
    <t>Northern Samar</t>
  </si>
  <si>
    <t>Samar</t>
  </si>
  <si>
    <t>Southern Leyte</t>
  </si>
  <si>
    <t>183.547.35</t>
  </si>
  <si>
    <t>R9</t>
  </si>
  <si>
    <t>Zamboanga del Sur</t>
  </si>
  <si>
    <t>Zamboanga City</t>
  </si>
  <si>
    <t>Zamboanga del Norte</t>
  </si>
  <si>
    <t>Zamboanga Sibugay</t>
  </si>
  <si>
    <t>Basilan (Isabela City)</t>
  </si>
  <si>
    <t>R10</t>
  </si>
  <si>
    <t>Bukidnon</t>
  </si>
  <si>
    <t>Camiguin</t>
  </si>
  <si>
    <t>Lanao del Norte</t>
  </si>
  <si>
    <t>Misamis Occidental</t>
  </si>
  <si>
    <t>Misamis Oriental</t>
  </si>
  <si>
    <t>R11</t>
  </si>
  <si>
    <t>Davao de Oro</t>
  </si>
  <si>
    <t>Davao del Norte</t>
  </si>
  <si>
    <t>Davao de Oriental</t>
  </si>
  <si>
    <t>Davao Occidental</t>
  </si>
  <si>
    <t>Davao del Sur (including Davao City)</t>
  </si>
  <si>
    <t>R12</t>
  </si>
  <si>
    <t>North Cotabato</t>
  </si>
  <si>
    <t>Sultan Kudarat</t>
  </si>
  <si>
    <t>Sarangani</t>
  </si>
  <si>
    <t>South Cotabato</t>
  </si>
  <si>
    <t>R13</t>
  </si>
  <si>
    <t>Agusan del Norte &amp; Butuan City</t>
  </si>
  <si>
    <t>Agusan del Sur</t>
  </si>
  <si>
    <t>Surigao del Norte</t>
  </si>
  <si>
    <t>Surigao del Sur</t>
  </si>
  <si>
    <t>Dinagat Islands</t>
  </si>
  <si>
    <t>Abra</t>
  </si>
  <si>
    <t>Apayao</t>
  </si>
  <si>
    <t>Benguet</t>
  </si>
  <si>
    <t>Ifugao</t>
  </si>
  <si>
    <t>Kalinga</t>
  </si>
  <si>
    <t>Mountain Province</t>
  </si>
  <si>
    <t>Baguio City</t>
  </si>
  <si>
    <t>Name of WTE Facility</t>
  </si>
  <si>
    <t>ECC No.
PTO No.</t>
  </si>
  <si>
    <t>Technology</t>
  </si>
  <si>
    <t>Address</t>
  </si>
  <si>
    <t>LGUs catered</t>
  </si>
  <si>
    <t>Quantity of waste received in 2025</t>
  </si>
  <si>
    <t>Power production capacity</t>
  </si>
  <si>
    <t>Output/Product</t>
  </si>
  <si>
    <t>WTE Facilities (For Residual Waste)</t>
  </si>
  <si>
    <t>WTE Facilities (For Biodegradable Waste)</t>
  </si>
  <si>
    <t>Name of Co-processing Facility</t>
  </si>
  <si>
    <t>Quantity of Waste Received in 2025</t>
  </si>
  <si>
    <t>Co-processing Facilities</t>
  </si>
  <si>
    <t>Pangea Green Energy Philippines Waste to Energy Power Plant</t>
  </si>
  <si>
    <t>ECC-OLNCR-2018-0135/18-POA-B-137406-678</t>
  </si>
  <si>
    <t>68 Zamboanga St., Area B, Payatas, Quezon City</t>
  </si>
  <si>
    <t>Quezon City</t>
  </si>
  <si>
    <t>Payatas closed CDF</t>
  </si>
  <si>
    <t>The actual generation capacity of the Waste to Energy Power Plan is about 400 - 800 KW. This is within the coverage limit of the approved project scope, which is 2.5MW.</t>
  </si>
  <si>
    <t>Geocycle/Holcim</t>
  </si>
  <si>
    <t>Brgy. Quirino, Bacnotan, La Union</t>
  </si>
  <si>
    <t>3,342 Tons</t>
  </si>
  <si>
    <t>Name of Technology/Facility</t>
  </si>
  <si>
    <t>Other Technologies/Facilities</t>
  </si>
  <si>
    <t>High Thermal Decomposition Machine</t>
  </si>
  <si>
    <t>PTO-OL-R01-2024-08274</t>
  </si>
  <si>
    <t>PTO-OL-R01-2024-05817/DP-R01-24-06099</t>
  </si>
  <si>
    <t>PTO-OL-R01-2025-06177</t>
  </si>
  <si>
    <t>ECC-OL-R01-2025-0099
PTO-OL-R01-2025-03630
DP-R01-25-08347</t>
  </si>
  <si>
    <t>N/A</t>
  </si>
  <si>
    <t>Tangaoan, Sta. Maria, Ilocos Sur</t>
  </si>
  <si>
    <t>Quezon(POB.), Cabugao, Ilocos Sur</t>
  </si>
  <si>
    <t>Bagbagoto, Ban Ayoyo, Ilocos Sur</t>
  </si>
  <si>
    <t>Barangay 5 (POB.) Bantay, Ilocos Sur</t>
  </si>
  <si>
    <t>Brgy. 40, Balatong Laoag City, Ilocos Norte</t>
  </si>
  <si>
    <t>LGU Sta. Maria</t>
  </si>
  <si>
    <t>LGU Cabugao</t>
  </si>
  <si>
    <t>LGU Banayoyo</t>
  </si>
  <si>
    <t>LGU Bantay</t>
  </si>
  <si>
    <t>City of Laoag</t>
  </si>
  <si>
    <t>Quantity of Waste received in 2025</t>
  </si>
  <si>
    <t>Description of Processes</t>
  </si>
  <si>
    <t>Pyrolytic incineration and uses a high temperature pyrolysis and gasification technology. The process includes a primary and secondary combustion and burning process that is environmentally safe and produces no smoke.</t>
  </si>
  <si>
    <t>ASH</t>
  </si>
  <si>
    <t>Holcim Philippines, Inc. (Geocycle)</t>
  </si>
  <si>
    <t>Republic Cement and Building Materials Inc.</t>
  </si>
  <si>
    <t>Eagle Cement Corporation</t>
  </si>
  <si>
    <t>Bo. Matictic, Poblacion, Norzagaray, Bulacan</t>
  </si>
  <si>
    <t>Barrio Minuyan, Norzagaray Bulacan, Philippines</t>
  </si>
  <si>
    <t>Brgy. Akle, San Ildefenso, Bulacan, Philippines</t>
  </si>
  <si>
    <t>San Jose City I Power Corporation</t>
  </si>
  <si>
    <t>VS Gripal Power Corporation</t>
  </si>
  <si>
    <t>Bataan 2020 Power Ventures, Inc.</t>
  </si>
  <si>
    <t>Green Innovations for Tomorrow Corporation (GIFTC)</t>
  </si>
  <si>
    <t>Asian Carbon Neutral Power Corporation</t>
  </si>
  <si>
    <t>Grass Gold Renewable Energy Corporation</t>
  </si>
  <si>
    <t>Cleangreen Energy Corporation</t>
  </si>
  <si>
    <t>03-0707-02-289-120A
PTO-OL-R01-2021-01137-R</t>
  </si>
  <si>
    <t>ECC-OL-R03-2018-
0002
PTO-OL-R03-2021-
01137</t>
  </si>
  <si>
    <t>ECC-CO-2106-0022/
ECC-03-BA-0705-
0417-120A
PTO-OL-R03-2022-
12429</t>
  </si>
  <si>
    <t>R03-1312-0518</t>
  </si>
  <si>
    <t>R03-1405-0215</t>
  </si>
  <si>
    <t>R03-1411-0508
PTO-OL-R03-2022-
04011-R</t>
  </si>
  <si>
    <t>ECC-OL-RO3-2016-
0110</t>
  </si>
  <si>
    <t>Biomass Fired Power Plant</t>
  </si>
  <si>
    <t>Biogas - Anaerobic
Digestion</t>
  </si>
  <si>
    <t>Tulat Road Brgy.
Calaocan, San Jose
City Nueva Ecija</t>
  </si>
  <si>
    <t>Roman
Superhighway, Brgy.
Gugo, Samal Bataan</t>
  </si>
  <si>
    <t>Brgy. Bacal 2,
Talavera, Nueva
Ecija</t>
  </si>
  <si>
    <t>Brgy. Armenia, Tarlac City, Tarlac</t>
  </si>
  <si>
    <t>Brgy. Caridad Sur,
Llanera, Nueva Ecija</t>
  </si>
  <si>
    <t>Brgy. Pag-Asa, Orani, Bataan</t>
  </si>
  <si>
    <t>Rice Mills</t>
  </si>
  <si>
    <t>Piggery</t>
  </si>
  <si>
    <t>24 MW</t>
  </si>
  <si>
    <t>6 MW</t>
  </si>
  <si>
    <t>25 MW</t>
  </si>
  <si>
    <t>18 MW</t>
  </si>
  <si>
    <t>2 MW</t>
  </si>
  <si>
    <t>12 MW</t>
  </si>
  <si>
    <t>Cagayan Biomass Energy Corporation (CBEC)</t>
  </si>
  <si>
    <t>Isabela Biomass Energy Corporation (IBEC)</t>
  </si>
  <si>
    <t>ECC-OL-R02-2022-0159</t>
  </si>
  <si>
    <t>ECC-OL-R02-2022-0162</t>
  </si>
  <si>
    <t>Raniag, Burgos, Isabela</t>
  </si>
  <si>
    <t>Burgos Alicia, Isabela</t>
  </si>
  <si>
    <t>Some LGUs within Region 2</t>
  </si>
  <si>
    <t>15 MW</t>
  </si>
  <si>
    <t>69 KV</t>
  </si>
  <si>
    <t>Republic Cement &amp; Building Materials, Inc.</t>
  </si>
  <si>
    <t>Concreat Holdings Philippines, Inc. | Official Website</t>
  </si>
  <si>
    <t>Holcim Philippines</t>
  </si>
  <si>
    <t>Brgy. Barrio Mapulo, Taysan, Batangas (Batangas Plant)</t>
  </si>
  <si>
    <t>Brgy. San Jose, Antipolo, Rizal</t>
  </si>
  <si>
    <t>Brgy. Matictic, Norzagaray, Bulacan</t>
  </si>
  <si>
    <t>31,909 tons/year</t>
  </si>
  <si>
    <t>87,929 tons/year</t>
  </si>
  <si>
    <t>3,994 tons/year</t>
  </si>
  <si>
    <t xml:space="preserve">Alterna Verde Corporation </t>
  </si>
  <si>
    <t>House Technology Industries PTE., Ltd.</t>
  </si>
  <si>
    <t>Montalban Methane Power Corporation </t>
  </si>
  <si>
    <t>Waste and Resources Management, Inc. </t>
  </si>
  <si>
    <t>ECC-R4A-2024-07-0087
PTO No. OL-R4A-2025-03679</t>
  </si>
  <si>
    <t>ECC-OL-R4A-2021-0263
PTO-OL-R4A-2024-05565-TR</t>
  </si>
  <si>
    <t>ECC-LDBW-0812-211-4020
PTO-OL-R4A-2022-04555-R
June 29, 2027</t>
  </si>
  <si>
    <t>ECC-OL-R4A-2020-0547
PTO-OL-R4A-2023-01086-R
Expiry :  February 3, 2028</t>
  </si>
  <si>
    <t>Resource Recovery Carbon Capture Facility</t>
  </si>
  <si>
    <t>One (1) Unit 10 Tonner Boiler Waste to Energy Project</t>
  </si>
  <si>
    <t>Montalban Methane capture to electricity generation project </t>
  </si>
  <si>
    <t>WTE</t>
  </si>
  <si>
    <t>Brgy. Sto. Niño, San Pablo, Laguna</t>
  </si>
  <si>
    <t>Cavite Economic Zone II, Rosario, Cavite</t>
  </si>
  <si>
    <t>Brgy. San Isidro, Rodriguez, Rizal</t>
  </si>
  <si>
    <t>Brgy. Aguado Trece Martires City, Cavite</t>
  </si>
  <si>
    <t>22
(Cavite) Rosario
(Laguna) Mabitac, Liliw, Rizal, Los Baños, Sta. Rosa, San Pedro, San Juan, Lemery, Lobo, Malvar, Talisay, San Jose, Tingloy
(Rizal) Teresa
(Quezon) Catanauan, Calauag, Lopez, Tagkawayan, Atimonan, Candelaria, Tiaong</t>
  </si>
  <si>
    <t>12
(Laguna) Siniloan, Pangil, Lumban, Kalayaan, Pila, Sta. Cruz, Calauan
(Rizal) Angono, Antipolo, Tanay, Tayabas, Mauban</t>
  </si>
  <si>
    <t>5
(Cavite) Trece Martires
(Rizal) Binangonan, Cainta, Cardona, Morong</t>
  </si>
  <si>
    <t>(Laguna) Bay, Liliw, Nagcarlan, San Pablo City, Alaminos
Industry clients</t>
  </si>
  <si>
    <t>Only caters wastes of their factory</t>
  </si>
  <si>
    <t>11 LGUs from Metro Manila
5 LGUs from R4A</t>
  </si>
  <si>
    <t xml:space="preserve">No available data </t>
  </si>
  <si>
    <t>110 TPD</t>
  </si>
  <si>
    <t>25 TPD</t>
  </si>
  <si>
    <t>3,000 TPD</t>
  </si>
  <si>
    <t>No available data</t>
  </si>
  <si>
    <t>For validation</t>
  </si>
  <si>
    <t>10 Tons</t>
  </si>
  <si>
    <t>3-4 MW</t>
  </si>
  <si>
    <t>Electricity</t>
  </si>
  <si>
    <t>Steam Generation</t>
  </si>
  <si>
    <t>Holcim Philippines Inc.</t>
  </si>
  <si>
    <t>Norzagaray, Bulacan</t>
  </si>
  <si>
    <t>Province of Marinduque</t>
  </si>
  <si>
    <t>48.52 Tons</t>
  </si>
  <si>
    <t>El Nido and Solid Waste Treatment Plant</t>
  </si>
  <si>
    <t>ECC-R4B-1603-0009
PTO-OL-R4B-2022-02312</t>
  </si>
  <si>
    <t>Anaerobic Biogas Digester</t>
  </si>
  <si>
    <t>Brgy. Villa Libertad, El Nido, Palawan</t>
  </si>
  <si>
    <t>El Nido</t>
  </si>
  <si>
    <t>no recorded operation</t>
  </si>
  <si>
    <t>240 kilowatts (kW)</t>
  </si>
  <si>
    <t>Sanitary Landfill/Waste-to Enery (LGU Naga City)​</t>
  </si>
  <si>
    <t>ECC-RO5-1710-0043​</t>
  </si>
  <si>
    <t>Ecological Zero Waste Processing Plant by JFGR</t>
  </si>
  <si>
    <t>ECC-OL-R05-2021-0065​</t>
  </si>
  <si>
    <t>Brgy. San Isidro, Naga City​</t>
  </si>
  <si>
    <t>Bgy. Dogongan Daet, Camarines Norte​</t>
  </si>
  <si>
    <t>Naga City​</t>
  </si>
  <si>
    <t>Operational (SLF)​</t>
  </si>
  <si>
    <t>Not yet operational ​</t>
  </si>
  <si>
    <t>Plastic wastes are converted to petroleum ​</t>
  </si>
  <si>
    <t>N/A​</t>
  </si>
  <si>
    <t>Proposed Material Recovery Facility with Pyrolysis</t>
  </si>
  <si>
    <t>ECC-RO5-2406-0004</t>
  </si>
  <si>
    <t>Brgy. Bigaas, Calabanga, Camarines Sur</t>
  </si>
  <si>
    <t>Construction of Pyrolysis Gasification System</t>
  </si>
  <si>
    <t>ECC-RO5-2401-0001</t>
  </si>
  <si>
    <t>Brgy. Taysan, Legazpi City</t>
  </si>
  <si>
    <t xml:space="preserve">Not yet operational </t>
  </si>
  <si>
    <t>Apo Cement Corp.</t>
  </si>
  <si>
    <t>Tina-an, Naga, Cebu</t>
  </si>
  <si>
    <t>Iloilo City</t>
  </si>
  <si>
    <t>4,605kg
Shredded flexible plastics</t>
  </si>
  <si>
    <t>Iloilo City 
Integrated Solid 
Waste 
Management 
Facility (ISWMF)</t>
  </si>
  <si>
    <t>ECC (ECC-OL-R06-2025-0049) issued on 20 February 2025</t>
  </si>
  <si>
    <t>Facility will 
treat, recover, 
and convert 
wastes to 
Refuse-Derive
d Fuel and 
Biogas 
(renewable 
energy 
sources under 
the DOE)</t>
  </si>
  <si>
    <t>Brgy. Ingore, 
Iloilo City</t>
  </si>
  <si>
    <t>Subay Marketing 
Inc.</t>
  </si>
  <si>
    <t>Evergreen Labs</t>
  </si>
  <si>
    <t>Justine Junk Shop/ 
consolidator</t>
  </si>
  <si>
    <t>Eb Magalona, 
Negros 
Occidental</t>
  </si>
  <si>
    <t>Iloilo 
City/Makati 
City</t>
  </si>
  <si>
    <t>Mandurriao, 
Iloilo City</t>
  </si>
  <si>
    <t>Negros 
Occidental, Iloilo, 
Antique, Capiz</t>
  </si>
  <si>
    <t>Province of 
Guimaras, Iloilo 
City, Ajuy, Iloilo, 
and Sibalom, 
Antique</t>
  </si>
  <si>
    <t xml:space="preserve">Regionwide </t>
  </si>
  <si>
    <t xml:space="preserve">212.53383 MT </t>
  </si>
  <si>
    <t xml:space="preserve">1,257.002 MT </t>
  </si>
  <si>
    <t>220 MT of PET, 
paper, low density 
plastic, tin can</t>
  </si>
  <si>
    <t>Recovered plastics 
from the LGUs 
were molded into 
plastic products</t>
  </si>
  <si>
    <t>Recovered plastics 
from the LGUs were 
molded into plastic 
lumber using the 
PTC facility donated 
by EMB.</t>
  </si>
  <si>
    <t>Consolidate all the 
recovered recyclables 
of the LGUs.</t>
  </si>
  <si>
    <t>● Molded furnitures 
(tables, trash bins, 
plastic chairs, pots, 
boxes, etc.)
● Construction 
materials (board, 
lumber, 
planks,bricks,formw
orks)
● Pellets, flakes, 
granules,bales</t>
  </si>
  <si>
    <t xml:space="preserve">Plastic lumber, 
Eco board </t>
  </si>
  <si>
    <t>PETValue 
RPET</t>
  </si>
  <si>
    <t>Apo Cement Corporation</t>
  </si>
  <si>
    <t>Brgy. Tina-an, Naga City, Cebu</t>
  </si>
  <si>
    <t>Naga City, Cebu City, Mandaue City</t>
  </si>
  <si>
    <t>7,893 tons</t>
  </si>
  <si>
    <t>FDR-IRRMI</t>
  </si>
  <si>
    <t>ECC RO7-1109-0244</t>
  </si>
  <si>
    <t>Biogas Plant</t>
  </si>
  <si>
    <t>Brgy. Pangdan, Naga City, cebu</t>
  </si>
  <si>
    <t>Carcar City, Minglanilla, Naga City</t>
  </si>
  <si>
    <t>63,800 tons</t>
  </si>
  <si>
    <t>760 KW</t>
  </si>
  <si>
    <t>SM GUUN</t>
  </si>
  <si>
    <t>ECC-OL-R7-2017-0054</t>
  </si>
  <si>
    <t>Tayud, Conlasocion, Cebu</t>
  </si>
  <si>
    <t>Mandaue City</t>
  </si>
  <si>
    <t>5,613 tons</t>
  </si>
  <si>
    <t>Production of fluff fuel from waste plastic</t>
  </si>
  <si>
    <t>Fluff</t>
  </si>
  <si>
    <t>Advance Waste Solution</t>
  </si>
  <si>
    <t>ECC-OL-RO8-2025-0021</t>
  </si>
  <si>
    <t>ECC-OL-RO8-2025-0155</t>
  </si>
  <si>
    <t>Pyrolysis</t>
  </si>
  <si>
    <t>Isabel, Leyte</t>
  </si>
  <si>
    <t>Catbalogan City, Samar</t>
  </si>
  <si>
    <t>LGU Isabel</t>
  </si>
  <si>
    <t>LGU Catbalogan</t>
  </si>
  <si>
    <t>Thermal Decomposition Machine</t>
  </si>
  <si>
    <t>ECC-OL-2023-0113</t>
  </si>
  <si>
    <t>ECC-OL-2024-0009</t>
  </si>
  <si>
    <t>ECC-OL-2024-0166</t>
  </si>
  <si>
    <t>ECC-OL-RO8-2025-0014</t>
  </si>
  <si>
    <t>ECC-OL-RO8-2025-0022</t>
  </si>
  <si>
    <t>Palompon, Leyte</t>
  </si>
  <si>
    <t>Villaba, Leyte</t>
  </si>
  <si>
    <t>Palo, Leyte</t>
  </si>
  <si>
    <t>Hinunangan, Southern Leyte</t>
  </si>
  <si>
    <t>Malitbog, Southern Leyte</t>
  </si>
  <si>
    <t>Naval, Biliran</t>
  </si>
  <si>
    <t>LGU Palompon</t>
  </si>
  <si>
    <t>LGU Villaba</t>
  </si>
  <si>
    <t>LGU Palo</t>
  </si>
  <si>
    <t>LGU Hinunangan</t>
  </si>
  <si>
    <t>LGU Malitbog</t>
  </si>
  <si>
    <t>LGU Naval</t>
  </si>
  <si>
    <t>LGUs in the Province Samar</t>
  </si>
  <si>
    <t>Decomposition of special and hazardous wastes under ultra-high temperatures reaching 1,250℃</t>
  </si>
  <si>
    <t>Ash</t>
  </si>
  <si>
    <t>Cagayan de Oro, Misamis
Oriental</t>
  </si>
  <si>
    <t>LGU Dipolog City</t>
  </si>
  <si>
    <t>9.19 tons</t>
  </si>
  <si>
    <t>Biogas</t>
  </si>
  <si>
    <t>Barangay
Lugdungan,
Dipolog City</t>
  </si>
  <si>
    <t>LGU Dipolog
City</t>
  </si>
  <si>
    <t>Holcim Philippines Incorporated - Lugait Plant (Geocycle)</t>
  </si>
  <si>
    <t>Republic Cement Mindanao, Inc.</t>
  </si>
  <si>
    <t>Brgy. Poblacion, Lugait, Misamis Oriental</t>
  </si>
  <si>
    <t>Brgy. Kiwalan, Iligan City</t>
  </si>
  <si>
    <t>Alubijid, Misamis Oriental
Laguindingan, Misamis Oriental
Gitagum, Misamis Oriental
Libertad, Misamis Oriental
Initao, Misamis Oriental 
Naawan, Misamis Oriental
Manticao, Misamis Oriental
Lugait, Misamis Oriental
El Salvador City, Misamis Oriental
Tagoloan, Misamis Oriental
Opol, Misamis Oriental
Lagonglong, Misamis Oriental
Medina, Misamis Oriental
Iligan City
Linamon, Lanao del Norte</t>
  </si>
  <si>
    <t>Linamon, Lanao del Norte
Iligan City</t>
  </si>
  <si>
    <t>At least 360.0 tons</t>
  </si>
  <si>
    <t>150.84 tons</t>
  </si>
  <si>
    <t>Thermal Decomposition Facility for the Central Material Recovery and Composting Facility</t>
  </si>
  <si>
    <t>Green Planet Renewable Energy Corporation </t>
  </si>
  <si>
    <t>ECC-OL-R10-2024-0163
PTO-OL-R10-2024-06878</t>
  </si>
  <si>
    <t>ECC-R10-1603-0013
PTO-OL-R10-2021-06285-R</t>
  </si>
  <si>
    <t>CMRCF, Brgy. Bonbonon, Iligan City</t>
  </si>
  <si>
    <t>Purok 07, Naawan, Misamis Oriental</t>
  </si>
  <si>
    <t>Iligan City</t>
  </si>
  <si>
    <t>146,913 kg (July – December 2024)
117,360 kg (January – April 2025)
176,040 kg
( May – October , 2025)</t>
  </si>
  <si>
    <t>Break down waste materials into valuable products such as fuels, chemicals, or biochar through processes involving heat and controlled conditions.</t>
  </si>
  <si>
    <t>Convert used tires and plastic waste into industrial fuel oil</t>
  </si>
  <si>
    <t>Fuels, chemicals, or biochar</t>
  </si>
  <si>
    <t>Industrial fuel oil</t>
  </si>
  <si>
    <t>Geocycle – Holcim Philippines, Inc</t>
  </si>
  <si>
    <t>Bo. Ilang, Davao City</t>
  </si>
  <si>
    <t>Carmen</t>
  </si>
  <si>
    <t>51.78 tons/year</t>
  </si>
  <si>
    <t>LGU Davao City</t>
  </si>
  <si>
    <t>Under Financial Viability Stage
JPN = 2.5 Billion
PH = 3.5 Billion
No longer requires national government funding, LGU is seeking for other funding source
600 TPD/ 11.1 MW</t>
  </si>
  <si>
    <t>Thermal Decomposition</t>
  </si>
  <si>
    <t>ECC-OL-R11-2025-0111</t>
  </si>
  <si>
    <t>LGU Kapalong</t>
  </si>
  <si>
    <t>Not operational yet</t>
  </si>
  <si>
    <t>Surallah Biogas Ventures Corporation plant</t>
  </si>
  <si>
    <t>Polomolok Biogas Ventures Corporation plant</t>
  </si>
  <si>
    <t>Surallah Power Generation Incorporated</t>
  </si>
  <si>
    <t>Surallah South Cotabato</t>
  </si>
  <si>
    <t>Polomolok, South Cotabato</t>
  </si>
  <si>
    <t>Surallah, South Cotabato</t>
  </si>
  <si>
    <t>Dole Philippines Operation in LGU Surallah</t>
  </si>
  <si>
    <t>Dole Philippines Operation in LGU Polomolok</t>
  </si>
  <si>
    <t>800,000.00 T/Y</t>
  </si>
  <si>
    <t>10,000 – 13,000 tons of rice husk per year</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</si>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</sst>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b/>
      <sz val="18"/>
      <color theme="1"/>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05">
    <xf numFmtId="0" fontId="0" fillId="0" borderId="0" xfId="0"/>
    <xf numFmtId="0" fontId="3" fillId="0" borderId="1" xfId="0" applyFont="1" applyBorder="1" applyAlignment="1">
      <alignment horizontal="center" vertical="center"/>
    </xf>
    <xf numFmtId="9" fontId="3" fillId="0" borderId="1" xfId="0" applyNumberFormat="1" applyFont="1" applyBorder="1" applyAlignment="1">
      <alignment horizontal="center" vertical="center"/>
    </xf>
    <xf numFmtId="9" fontId="3" fillId="0" borderId="3" xfId="0" applyNumberFormat="1" applyFont="1" applyBorder="1" applyAlignment="1">
      <alignment horizontal="center" vertical="center"/>
    </xf>
    <xf numFmtId="0" fontId="3" fillId="0" borderId="0" xfId="0" applyFont="1"/>
    <xf numFmtId="0" fontId="3" fillId="0" borderId="1" xfId="0" applyFont="1" applyBorder="1"/>
    <xf numFmtId="0" fontId="2" fillId="2" borderId="1" xfId="0" applyFont="1" applyFill="1" applyBorder="1" applyAlignment="1">
      <alignment horizontal="center" vertical="center"/>
    </xf>
    <xf numFmtId="9" fontId="2" fillId="2" borderId="1"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4" fontId="3" fillId="0" borderId="1" xfId="0" applyNumberFormat="1" applyFont="1" applyBorder="1" applyAlignment="1">
      <alignment horizontal="center" vertical="center"/>
    </xf>
    <xf numFmtId="10" fontId="3" fillId="0" borderId="1" xfId="0" applyNumberFormat="1" applyFont="1" applyBorder="1" applyAlignment="1">
      <alignment horizontal="center" vertical="center"/>
    </xf>
    <xf numFmtId="4" fontId="2" fillId="2" borderId="1" xfId="0" applyNumberFormat="1" applyFont="1" applyFill="1" applyBorder="1" applyAlignment="1">
      <alignment horizontal="center" vertical="center"/>
    </xf>
    <xf numFmtId="9" fontId="2" fillId="2" borderId="1" xfId="1" applyFont="1" applyFill="1" applyBorder="1" applyAlignment="1">
      <alignment horizontal="center" vertical="center"/>
    </xf>
    <xf numFmtId="10" fontId="2" fillId="2" borderId="1" xfId="0" applyNumberFormat="1" applyFont="1" applyFill="1" applyBorder="1" applyAlignment="1">
      <alignment horizontal="center" vertical="center"/>
    </xf>
    <xf numFmtId="10" fontId="2" fillId="2" borderId="1" xfId="1" applyNumberFormat="1" applyFont="1" applyFill="1" applyBorder="1" applyAlignment="1">
      <alignment horizontal="center" vertical="center"/>
    </xf>
    <xf numFmtId="3" fontId="3" fillId="0" borderId="1" xfId="0" applyNumberFormat="1" applyFont="1" applyBorder="1" applyAlignment="1">
      <alignment horizontal="center" vertical="center"/>
    </xf>
    <xf numFmtId="9" fontId="3" fillId="0" borderId="1" xfId="1" applyFont="1" applyBorder="1" applyAlignment="1">
      <alignment horizontal="center" vertical="center"/>
    </xf>
    <xf numFmtId="0" fontId="3" fillId="0" borderId="1" xfId="0" quotePrefix="1" applyFont="1" applyBorder="1" applyAlignment="1">
      <alignment horizontal="center" vertical="center"/>
    </xf>
    <xf numFmtId="0" fontId="3" fillId="0" borderId="1" xfId="0" applyFont="1" applyBorder="1" applyAlignment="1">
      <alignment wrapText="1"/>
    </xf>
    <xf numFmtId="0" fontId="2" fillId="0" borderId="2" xfId="0" applyFont="1" applyBorder="1" applyAlignment="1">
      <alignment horizontal="center" vertical="center"/>
    </xf>
    <xf numFmtId="0" fontId="2" fillId="0" borderId="3" xfId="0" applyFont="1" applyBorder="1" applyAlignment="1">
      <alignment horizontal="center" vertical="center" wrapText="1"/>
    </xf>
    <xf numFmtId="9" fontId="2" fillId="2" borderId="3" xfId="1" applyFont="1" applyFill="1" applyBorder="1" applyAlignment="1">
      <alignment horizontal="center" vertical="center"/>
    </xf>
    <xf numFmtId="10" fontId="3" fillId="0" borderId="3" xfId="0" applyNumberFormat="1" applyFont="1" applyBorder="1" applyAlignment="1">
      <alignment horizontal="center" vertical="center"/>
    </xf>
    <xf numFmtId="10" fontId="2" fillId="2" borderId="3" xfId="1" applyNumberFormat="1" applyFont="1" applyFill="1" applyBorder="1" applyAlignment="1">
      <alignment horizontal="center" vertical="center"/>
    </xf>
    <xf numFmtId="0" fontId="3" fillId="0" borderId="3" xfId="0" applyFont="1" applyBorder="1" applyAlignment="1">
      <alignment horizontal="center" vertical="center"/>
    </xf>
    <xf numFmtId="3" fontId="3" fillId="0" borderId="3" xfId="0" applyNumberFormat="1" applyFont="1" applyBorder="1" applyAlignment="1">
      <alignment horizontal="center" vertical="center"/>
    </xf>
    <xf numFmtId="0" fontId="2" fillId="2" borderId="5" xfId="0" applyFont="1" applyFill="1" applyBorder="1" applyAlignment="1">
      <alignment horizontal="center" vertical="center"/>
    </xf>
    <xf numFmtId="10" fontId="2" fillId="2" borderId="5" xfId="0" applyNumberFormat="1" applyFont="1" applyFill="1" applyBorder="1" applyAlignment="1">
      <alignment horizontal="center" vertical="center"/>
    </xf>
    <xf numFmtId="4" fontId="2" fillId="2" borderId="5" xfId="0" applyNumberFormat="1" applyFont="1" applyFill="1" applyBorder="1" applyAlignment="1">
      <alignment horizontal="center" vertical="center"/>
    </xf>
    <xf numFmtId="10" fontId="2" fillId="2" borderId="5" xfId="1" applyNumberFormat="1" applyFont="1" applyFill="1" applyBorder="1" applyAlignment="1">
      <alignment horizontal="center" vertical="center"/>
    </xf>
    <xf numFmtId="10" fontId="2" fillId="2" borderId="6" xfId="1" applyNumberFormat="1" applyFont="1" applyFill="1" applyBorder="1" applyAlignment="1">
      <alignment horizontal="center" vertical="center"/>
    </xf>
    <xf numFmtId="0" fontId="2" fillId="2" borderId="1" xfId="0" applyFont="1" applyFill="1" applyBorder="1" applyAlignment="1">
      <alignment horizontal="right"/>
    </xf>
    <xf numFmtId="0" fontId="2" fillId="0" borderId="0" xfId="0" applyFont="1" applyAlignment="1">
      <alignment horizontal="center" vertical="center" wrapText="1"/>
    </xf>
    <xf numFmtId="0" fontId="3" fillId="0" borderId="0" xfId="0" applyFont="1" applyAlignment="1">
      <alignment horizontal="center" vertical="center"/>
    </xf>
    <xf numFmtId="9" fontId="3" fillId="0" borderId="0" xfId="0" applyNumberFormat="1" applyFont="1" applyAlignment="1">
      <alignment horizontal="center" vertical="center"/>
    </xf>
    <xf numFmtId="0" fontId="2" fillId="0" borderId="2" xfId="0" applyFont="1" applyBorder="1" applyAlignment="1">
      <alignment vertical="center"/>
    </xf>
    <xf numFmtId="0" fontId="3" fillId="3" borderId="2" xfId="0" applyFont="1" applyFill="1" applyBorder="1"/>
    <xf numFmtId="0" fontId="3" fillId="3" borderId="1" xfId="0" applyFont="1" applyFill="1" applyBorder="1"/>
    <xf numFmtId="0" fontId="3" fillId="3" borderId="3" xfId="0" applyFont="1" applyFill="1" applyBorder="1"/>
    <xf numFmtId="10" fontId="2" fillId="0" borderId="0" xfId="1" applyNumberFormat="1" applyFont="1" applyFill="1" applyBorder="1" applyAlignment="1">
      <alignment vertical="center"/>
    </xf>
    <xf numFmtId="4" fontId="3" fillId="0" borderId="0" xfId="0" applyNumberFormat="1" applyFont="1" applyAlignment="1">
      <alignment horizontal="center" vertical="center"/>
    </xf>
    <xf numFmtId="10" fontId="3" fillId="0" borderId="0" xfId="0" applyNumberFormat="1" applyFont="1" applyAlignment="1">
      <alignment horizontal="center" vertical="center"/>
    </xf>
    <xf numFmtId="3" fontId="3" fillId="0" borderId="0" xfId="0" applyNumberFormat="1" applyFont="1" applyAlignment="1">
      <alignment horizontal="center" vertical="center"/>
    </xf>
    <xf numFmtId="9" fontId="2" fillId="0" borderId="0" xfId="0" applyNumberFormat="1" applyFont="1" applyAlignment="1">
      <alignment vertical="center"/>
    </xf>
    <xf numFmtId="9" fontId="3" fillId="0" borderId="0" xfId="1" applyFont="1" applyFill="1" applyBorder="1" applyAlignment="1">
      <alignment horizontal="center" vertical="center"/>
    </xf>
    <xf numFmtId="9" fontId="3" fillId="0" borderId="0" xfId="0" applyNumberFormat="1" applyFont="1" applyAlignment="1">
      <alignment vertical="center"/>
    </xf>
    <xf numFmtId="0" fontId="4"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4" fontId="3" fillId="0" borderId="1" xfId="0" applyNumberFormat="1" applyFont="1" applyBorder="1" applyAlignment="1">
      <alignment horizontal="center" vertical="center" wrapText="1"/>
    </xf>
    <xf numFmtId="0" fontId="3" fillId="3" borderId="1" xfId="0" applyFont="1" applyFill="1" applyBorder="1" applyAlignment="1">
      <alignment wrapText="1"/>
    </xf>
    <xf numFmtId="0" fontId="3" fillId="0" borderId="1" xfId="0" applyFont="1" applyBorder="1" applyAlignment="1">
      <alignment horizontal="left" vertical="top"/>
    </xf>
    <xf numFmtId="9" fontId="3" fillId="0" borderId="1" xfId="0" applyNumberFormat="1" applyFont="1" applyBorder="1" applyAlignment="1">
      <alignment horizontal="left" vertical="top" wrapText="1"/>
    </xf>
    <xf numFmtId="9" fontId="3" fillId="0" borderId="1" xfId="0" applyNumberFormat="1" applyFont="1" applyBorder="1" applyAlignment="1">
      <alignment horizontal="left" vertical="top"/>
    </xf>
    <xf numFmtId="3" fontId="3" fillId="0" borderId="1" xfId="0" applyNumberFormat="1" applyFont="1" applyBorder="1" applyAlignment="1">
      <alignment horizontal="left" vertical="top"/>
    </xf>
    <xf numFmtId="3" fontId="3" fillId="0" borderId="1" xfId="0" applyNumberFormat="1" applyFont="1" applyBorder="1" applyAlignment="1">
      <alignment horizontal="left" vertical="top" wrapText="1"/>
    </xf>
    <xf numFmtId="10" fontId="3" fillId="0" borderId="3" xfId="0" applyNumberFormat="1" applyFont="1" applyBorder="1" applyAlignment="1">
      <alignment horizontal="center" vertical="center" wrapText="1"/>
    </xf>
    <xf numFmtId="9" fontId="3" fillId="0" borderId="3" xfId="0" applyNumberFormat="1" applyFont="1" applyBorder="1" applyAlignment="1">
      <alignment horizontal="left" vertical="top" wrapText="1"/>
    </xf>
    <xf numFmtId="0" fontId="3" fillId="3" borderId="4" xfId="0" applyFont="1" applyFill="1" applyBorder="1"/>
    <xf numFmtId="0" fontId="3" fillId="3" borderId="5" xfId="0" applyFont="1" applyFill="1" applyBorder="1"/>
    <xf numFmtId="0" fontId="3" fillId="3" borderId="6" xfId="0" applyFont="1" applyFill="1" applyBorder="1"/>
    <xf numFmtId="3" fontId="3" fillId="0" borderId="3" xfId="0" applyNumberFormat="1" applyFont="1" applyBorder="1" applyAlignment="1">
      <alignment horizontal="center" vertical="center" wrapText="1"/>
    </xf>
    <xf numFmtId="0" fontId="3" fillId="0" borderId="3" xfId="0" applyFont="1" applyBorder="1" applyAlignment="1">
      <alignment horizontal="left" vertical="top"/>
    </xf>
    <xf numFmtId="0" fontId="3" fillId="0" borderId="3" xfId="0" applyFont="1" applyBorder="1" applyAlignment="1">
      <alignment horizontal="left" vertical="top" wrapText="1"/>
    </xf>
    <xf numFmtId="9" fontId="3" fillId="0" borderId="3" xfId="0" applyNumberFormat="1" applyFont="1" applyBorder="1" applyAlignment="1">
      <alignment horizontal="left" vertical="top"/>
    </xf>
    <xf numFmtId="0" fontId="5" fillId="0" borderId="1" xfId="0" applyFont="1" applyBorder="1" applyAlignment="1">
      <alignment horizontal="center" vertical="center" readingOrder="1"/>
    </xf>
    <xf numFmtId="4" fontId="3" fillId="0" borderId="3" xfId="0" applyNumberFormat="1" applyFont="1" applyBorder="1" applyAlignment="1">
      <alignment horizontal="center" vertical="center"/>
    </xf>
    <xf numFmtId="4" fontId="3" fillId="0" borderId="3" xfId="0" applyNumberFormat="1" applyFont="1" applyBorder="1" applyAlignment="1">
      <alignment horizontal="left" vertical="top"/>
    </xf>
    <xf numFmtId="4" fontId="3" fillId="0" borderId="3" xfId="0" applyNumberFormat="1" applyFont="1" applyBorder="1" applyAlignment="1">
      <alignment horizontal="left" vertical="top" wrapText="1"/>
    </xf>
    <xf numFmtId="3" fontId="3" fillId="0" borderId="3" xfId="0" applyNumberFormat="1" applyFont="1" applyBorder="1" applyAlignment="1">
      <alignment horizontal="left" vertical="top" wrapText="1"/>
    </xf>
    <xf numFmtId="0" fontId="2" fillId="0" borderId="2" xfId="0" applyFont="1" applyBorder="1" applyAlignment="1">
      <alignment horizontal="center" vertical="center"/>
    </xf>
    <xf numFmtId="10" fontId="2" fillId="0" borderId="1" xfId="1" applyNumberFormat="1" applyFont="1" applyFill="1" applyBorder="1" applyAlignment="1">
      <alignment horizontal="center" vertical="center"/>
    </xf>
    <xf numFmtId="9" fontId="3" fillId="0" borderId="3" xfId="0" applyNumberFormat="1" applyFont="1" applyBorder="1" applyAlignment="1">
      <alignment horizontal="center" vertical="center"/>
    </xf>
    <xf numFmtId="0" fontId="2" fillId="0" borderId="4" xfId="0" applyFont="1" applyBorder="1" applyAlignment="1">
      <alignment horizontal="center" vertical="center"/>
    </xf>
    <xf numFmtId="0" fontId="3" fillId="3" borderId="2" xfId="0" applyFont="1" applyFill="1" applyBorder="1" applyAlignment="1">
      <alignment horizontal="center"/>
    </xf>
    <xf numFmtId="0" fontId="3" fillId="3" borderId="1" xfId="0" applyFont="1" applyFill="1" applyBorder="1" applyAlignment="1">
      <alignment horizontal="center"/>
    </xf>
    <xf numFmtId="0" fontId="3" fillId="3" borderId="3" xfId="0" applyFont="1" applyFill="1" applyBorder="1" applyAlignment="1">
      <alignment horizontal="center"/>
    </xf>
    <xf numFmtId="9"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7" xfId="0" applyFont="1" applyBorder="1" applyAlignment="1">
      <alignment horizontal="center" vertic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3" fillId="3" borderId="11" xfId="0" applyFont="1" applyFill="1" applyBorder="1" applyAlignment="1">
      <alignment horizontal="center"/>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9" fontId="3" fillId="0" borderId="3" xfId="0" applyNumberFormat="1" applyFont="1" applyBorder="1" applyAlignment="1">
      <alignment horizontal="left" vertical="top" wrapText="1"/>
    </xf>
    <xf numFmtId="0" fontId="3" fillId="0" borderId="3" xfId="0" applyFont="1" applyBorder="1" applyAlignment="1">
      <alignment horizontal="center" vertical="top" wrapText="1"/>
    </xf>
    <xf numFmtId="9" fontId="3" fillId="0" borderId="1" xfId="0" applyNumberFormat="1" applyFont="1" applyBorder="1" applyAlignment="1">
      <alignment horizontal="center" vertical="top" wrapText="1"/>
    </xf>
    <xf numFmtId="3" fontId="3" fillId="0" borderId="3" xfId="0" applyNumberFormat="1" applyFont="1" applyBorder="1" applyAlignment="1">
      <alignment horizontal="center" vertical="top" wrapText="1"/>
    </xf>
    <xf numFmtId="9" fontId="3" fillId="0" borderId="3" xfId="0" applyNumberFormat="1" applyFont="1" applyBorder="1" applyAlignment="1">
      <alignment horizontal="center" vertical="top" wrapText="1"/>
    </xf>
    <xf numFmtId="0" fontId="3" fillId="0" borderId="1" xfId="0" applyFont="1" applyBorder="1" applyAlignment="1">
      <alignment horizontal="left" vertical="center" wrapText="1"/>
    </xf>
    <xf numFmtId="9" fontId="3" fillId="0" borderId="1" xfId="0" applyNumberFormat="1" applyFont="1" applyBorder="1" applyAlignment="1">
      <alignment horizontal="left" vertical="top" wrapText="1"/>
    </xf>
    <xf numFmtId="43" fontId="2" fillId="2" borderId="5" xfId="2" applyFont="1" applyFill="1" applyBorder="1" applyAlignment="1">
      <alignment horizontal="center" vertical="center"/>
    </xf>
    <xf numFmtId="0" fontId="3" fillId="3" borderId="16" xfId="0" applyFont="1" applyFill="1" applyBorder="1" applyAlignment="1">
      <alignment horizontal="center"/>
    </xf>
    <xf numFmtId="0" fontId="3" fillId="3" borderId="0" xfId="0" applyFont="1" applyFill="1" applyBorder="1" applyAlignment="1">
      <alignment horizontal="center"/>
    </xf>
    <xf numFmtId="0" fontId="3" fillId="3" borderId="17" xfId="0" applyFont="1" applyFill="1" applyBorder="1" applyAlignment="1">
      <alignment horizontal="center"/>
    </xf>
    <xf numFmtId="10" fontId="2" fillId="2" borderId="6" xfId="0" applyNumberFormat="1" applyFont="1" applyFill="1" applyBorder="1" applyAlignment="1">
      <alignment horizontal="center" vertical="center"/>
    </xf>
    <xf numFmtId="0" fontId="2" fillId="2" borderId="18" xfId="0" applyFont="1" applyFill="1" applyBorder="1" applyAlignment="1">
      <alignment horizontal="right"/>
    </xf>
    <xf numFmtId="0" fontId="2" fillId="2" borderId="19" xfId="0" applyFont="1" applyFill="1" applyBorder="1" applyAlignment="1">
      <alignment horizontal="right"/>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16856-4BB2-401A-984E-997E2CA10DC1}">
  <dimension ref="A1:Q115"/>
  <sheetViews>
    <sheetView tabSelected="1" zoomScale="70" zoomScaleNormal="70" workbookViewId="0">
      <pane ySplit="2" topLeftCell="A87" activePane="bottomLeft" state="frozen"/>
      <selection pane="bottomLeft" activeCell="F119" sqref="F119"/>
    </sheetView>
  </sheetViews>
  <sheetFormatPr defaultRowHeight="16" x14ac:dyDescent="0.4"/>
  <cols>
    <col min="1" max="1" width="8.7265625" style="4"/>
    <col min="2" max="2" width="20.54296875" style="4" customWidth="1"/>
    <col min="3" max="3" width="11.453125" style="4" customWidth="1"/>
    <col min="4" max="4" width="17.453125" style="4" customWidth="1"/>
    <col min="5" max="5" width="18.1796875" style="4" customWidth="1"/>
    <col min="6" max="6" width="17.36328125" style="4" customWidth="1"/>
    <col min="7" max="7" width="18.08984375" style="4" customWidth="1"/>
    <col min="8" max="8" width="17.453125" style="4" customWidth="1"/>
    <col min="9" max="9" width="19.54296875" style="4" customWidth="1"/>
    <col min="10" max="10" width="19.26953125" style="4" customWidth="1"/>
    <col min="11" max="11" width="19.453125" style="4" customWidth="1"/>
    <col min="12" max="12" width="16.26953125" style="4" customWidth="1"/>
    <col min="13" max="13" width="25.54296875" style="4" customWidth="1"/>
    <col min="14" max="14" width="23.08984375" style="4" customWidth="1"/>
    <col min="15" max="15" width="19.54296875" style="4" customWidth="1"/>
    <col min="16" max="16" width="19.6328125" style="4" customWidth="1"/>
    <col min="17" max="17" width="14.7265625" style="4" customWidth="1"/>
    <col min="18" max="16384" width="8.7265625" style="4"/>
  </cols>
  <sheetData>
    <row r="1" spans="1:17" ht="23.5" x14ac:dyDescent="0.55000000000000004">
      <c r="A1" s="83" t="s">
        <v>0</v>
      </c>
      <c r="B1" s="84"/>
      <c r="C1" s="84"/>
      <c r="D1" s="84"/>
      <c r="E1" s="84"/>
      <c r="F1" s="84"/>
      <c r="G1" s="84"/>
      <c r="H1" s="84"/>
      <c r="I1" s="84"/>
      <c r="J1" s="84"/>
      <c r="K1" s="84"/>
      <c r="L1" s="84"/>
      <c r="M1" s="84"/>
      <c r="N1" s="84"/>
      <c r="O1" s="84"/>
      <c r="P1" s="84"/>
      <c r="Q1" s="85"/>
    </row>
    <row r="2" spans="1:17" ht="80" x14ac:dyDescent="0.4">
      <c r="A2" s="20" t="s">
        <v>9</v>
      </c>
      <c r="B2" s="8" t="s">
        <v>1</v>
      </c>
      <c r="C2" s="8" t="s">
        <v>2</v>
      </c>
      <c r="D2" s="9" t="s">
        <v>3</v>
      </c>
      <c r="E2" s="9" t="s">
        <v>6</v>
      </c>
      <c r="F2" s="9" t="s">
        <v>4</v>
      </c>
      <c r="G2" s="9" t="s">
        <v>5</v>
      </c>
      <c r="H2" s="9" t="s">
        <v>26</v>
      </c>
      <c r="I2" s="9" t="s">
        <v>27</v>
      </c>
      <c r="J2" s="9" t="s">
        <v>28</v>
      </c>
      <c r="K2" s="9" t="s">
        <v>29</v>
      </c>
      <c r="L2" s="9" t="s">
        <v>30</v>
      </c>
      <c r="M2" s="9" t="s">
        <v>31</v>
      </c>
      <c r="N2" s="9" t="s">
        <v>32</v>
      </c>
      <c r="O2" s="9" t="s">
        <v>33</v>
      </c>
      <c r="P2" s="9" t="s">
        <v>34</v>
      </c>
      <c r="Q2" s="21" t="s">
        <v>35</v>
      </c>
    </row>
    <row r="3" spans="1:17" x14ac:dyDescent="0.4">
      <c r="A3" s="71" t="s">
        <v>10</v>
      </c>
      <c r="B3" s="5" t="s">
        <v>7</v>
      </c>
      <c r="C3" s="1">
        <v>17</v>
      </c>
      <c r="D3" s="1">
        <v>17</v>
      </c>
      <c r="E3" s="2">
        <v>1</v>
      </c>
      <c r="F3" s="1">
        <v>17</v>
      </c>
      <c r="G3" s="2">
        <v>1</v>
      </c>
      <c r="H3" s="10">
        <v>4340616.74</v>
      </c>
      <c r="I3" s="1" t="s">
        <v>12</v>
      </c>
      <c r="J3" s="10">
        <v>2257120</v>
      </c>
      <c r="K3" s="11">
        <v>0.51</v>
      </c>
      <c r="L3" s="10">
        <v>4340616.74</v>
      </c>
      <c r="M3" s="10">
        <v>4052838.89</v>
      </c>
      <c r="N3" s="1" t="s">
        <v>12</v>
      </c>
      <c r="O3" s="1" t="s">
        <v>12</v>
      </c>
      <c r="P3" s="10">
        <v>4052838.89</v>
      </c>
      <c r="Q3" s="3">
        <v>0.91</v>
      </c>
    </row>
    <row r="4" spans="1:17" x14ac:dyDescent="0.4">
      <c r="A4" s="71"/>
      <c r="B4" s="32" t="s">
        <v>8</v>
      </c>
      <c r="C4" s="6">
        <v>17</v>
      </c>
      <c r="D4" s="6">
        <v>17</v>
      </c>
      <c r="E4" s="7">
        <v>1</v>
      </c>
      <c r="F4" s="6">
        <v>17</v>
      </c>
      <c r="G4" s="7">
        <v>1</v>
      </c>
      <c r="H4" s="12">
        <f>SUM(H3)</f>
        <v>4340616.74</v>
      </c>
      <c r="I4" s="12">
        <f t="shared" ref="I4:P4" si="0">SUM(I3)</f>
        <v>0</v>
      </c>
      <c r="J4" s="12">
        <f t="shared" si="0"/>
        <v>2257120</v>
      </c>
      <c r="K4" s="13">
        <f t="shared" si="0"/>
        <v>0.51</v>
      </c>
      <c r="L4" s="12">
        <f t="shared" si="0"/>
        <v>4340616.74</v>
      </c>
      <c r="M4" s="12">
        <f t="shared" si="0"/>
        <v>4052838.89</v>
      </c>
      <c r="N4" s="12">
        <f t="shared" si="0"/>
        <v>0</v>
      </c>
      <c r="O4" s="12">
        <f t="shared" si="0"/>
        <v>0</v>
      </c>
      <c r="P4" s="12">
        <f t="shared" si="0"/>
        <v>4052838.89</v>
      </c>
      <c r="Q4" s="22">
        <f>SUM(Q3)</f>
        <v>0.91</v>
      </c>
    </row>
    <row r="5" spans="1:17" x14ac:dyDescent="0.4">
      <c r="A5" s="75"/>
      <c r="B5" s="76"/>
      <c r="C5" s="76"/>
      <c r="D5" s="76"/>
      <c r="E5" s="76"/>
      <c r="F5" s="76"/>
      <c r="G5" s="76"/>
      <c r="H5" s="76"/>
      <c r="I5" s="76"/>
      <c r="J5" s="76"/>
      <c r="K5" s="76"/>
      <c r="L5" s="76"/>
      <c r="M5" s="76"/>
      <c r="N5" s="76"/>
      <c r="O5" s="76"/>
      <c r="P5" s="76"/>
      <c r="Q5" s="77"/>
    </row>
    <row r="6" spans="1:17" x14ac:dyDescent="0.4">
      <c r="A6" s="71" t="s">
        <v>11</v>
      </c>
      <c r="B6" s="5" t="s">
        <v>111</v>
      </c>
      <c r="C6" s="1">
        <v>27</v>
      </c>
      <c r="D6" s="1">
        <v>15</v>
      </c>
      <c r="E6" s="2">
        <v>0.55500000000000005</v>
      </c>
      <c r="F6" s="1">
        <v>15</v>
      </c>
      <c r="G6" s="2">
        <v>0.55500000000000005</v>
      </c>
      <c r="H6" s="10">
        <v>17454.990000000002</v>
      </c>
      <c r="I6" s="1" t="s">
        <v>12</v>
      </c>
      <c r="J6" s="10" t="s">
        <v>12</v>
      </c>
      <c r="K6" s="2" t="s">
        <v>12</v>
      </c>
      <c r="L6" s="10">
        <v>17454.990000000002</v>
      </c>
      <c r="M6" s="10">
        <v>44.08</v>
      </c>
      <c r="N6" s="10">
        <v>4459.57</v>
      </c>
      <c r="O6" s="1" t="s">
        <v>12</v>
      </c>
      <c r="P6" s="10" t="s">
        <v>12</v>
      </c>
      <c r="Q6" s="23" t="s">
        <v>12</v>
      </c>
    </row>
    <row r="7" spans="1:17" x14ac:dyDescent="0.4">
      <c r="A7" s="71"/>
      <c r="B7" s="5" t="s">
        <v>112</v>
      </c>
      <c r="C7" s="1">
        <v>7</v>
      </c>
      <c r="D7" s="1">
        <v>7</v>
      </c>
      <c r="E7" s="2">
        <v>1</v>
      </c>
      <c r="F7" s="1">
        <v>7</v>
      </c>
      <c r="G7" s="2">
        <v>1</v>
      </c>
      <c r="H7" s="10">
        <v>8871.4449999999997</v>
      </c>
      <c r="I7" s="1" t="s">
        <v>12</v>
      </c>
      <c r="J7" s="10" t="s">
        <v>12</v>
      </c>
      <c r="K7" s="2" t="s">
        <v>12</v>
      </c>
      <c r="L7" s="10">
        <v>8871.4449999999997</v>
      </c>
      <c r="M7" s="1">
        <v>410.625</v>
      </c>
      <c r="N7" s="10">
        <v>1574.79</v>
      </c>
      <c r="O7" s="1" t="s">
        <v>12</v>
      </c>
      <c r="P7" s="10" t="s">
        <v>12</v>
      </c>
      <c r="Q7" s="23" t="s">
        <v>12</v>
      </c>
    </row>
    <row r="8" spans="1:17" x14ac:dyDescent="0.4">
      <c r="A8" s="71"/>
      <c r="B8" s="5" t="s">
        <v>113</v>
      </c>
      <c r="C8" s="1">
        <v>14</v>
      </c>
      <c r="D8" s="1">
        <v>10</v>
      </c>
      <c r="E8" s="2">
        <v>0.71399999999999997</v>
      </c>
      <c r="F8" s="1">
        <v>10</v>
      </c>
      <c r="G8" s="2">
        <v>0.71399999999999997</v>
      </c>
      <c r="H8" s="10">
        <v>44053</v>
      </c>
      <c r="I8" s="1">
        <v>4.1868499999999997</v>
      </c>
      <c r="J8" s="10" t="s">
        <v>12</v>
      </c>
      <c r="K8" s="11" t="s">
        <v>12</v>
      </c>
      <c r="L8" s="10">
        <v>44053</v>
      </c>
      <c r="M8" s="10">
        <v>12819</v>
      </c>
      <c r="N8" s="10">
        <v>205874</v>
      </c>
      <c r="O8" s="1" t="s">
        <v>12</v>
      </c>
      <c r="P8" s="10" t="s">
        <v>12</v>
      </c>
      <c r="Q8" s="23" t="s">
        <v>12</v>
      </c>
    </row>
    <row r="9" spans="1:17" x14ac:dyDescent="0.4">
      <c r="A9" s="71"/>
      <c r="B9" s="5" t="s">
        <v>117</v>
      </c>
      <c r="C9" s="1" t="s">
        <v>12</v>
      </c>
      <c r="D9" s="1" t="s">
        <v>12</v>
      </c>
      <c r="E9" s="2" t="s">
        <v>12</v>
      </c>
      <c r="F9" s="1" t="s">
        <v>12</v>
      </c>
      <c r="G9" s="2" t="s">
        <v>12</v>
      </c>
      <c r="H9" s="10">
        <v>212353.35</v>
      </c>
      <c r="I9" s="1" t="s">
        <v>12</v>
      </c>
      <c r="J9" s="10" t="s">
        <v>12</v>
      </c>
      <c r="K9" s="11" t="s">
        <v>12</v>
      </c>
      <c r="L9" s="10">
        <v>212353.35</v>
      </c>
      <c r="M9" s="10">
        <v>16648.32</v>
      </c>
      <c r="N9" s="10" t="s">
        <v>12</v>
      </c>
      <c r="O9" s="1" t="s">
        <v>12</v>
      </c>
      <c r="P9" s="10" t="s">
        <v>12</v>
      </c>
      <c r="Q9" s="23" t="s">
        <v>12</v>
      </c>
    </row>
    <row r="10" spans="1:17" x14ac:dyDescent="0.4">
      <c r="A10" s="71"/>
      <c r="B10" s="5" t="s">
        <v>114</v>
      </c>
      <c r="C10" s="1">
        <v>11</v>
      </c>
      <c r="D10" s="1">
        <v>10</v>
      </c>
      <c r="E10" s="2">
        <v>0.90900000000000003</v>
      </c>
      <c r="F10" s="1">
        <v>10</v>
      </c>
      <c r="G10" s="2">
        <v>0.90900000000000003</v>
      </c>
      <c r="H10" s="10">
        <v>16570.39</v>
      </c>
      <c r="I10" s="10" t="s">
        <v>12</v>
      </c>
      <c r="J10" s="10" t="s">
        <v>12</v>
      </c>
      <c r="K10" s="11" t="s">
        <v>12</v>
      </c>
      <c r="L10" s="10">
        <v>16570.39</v>
      </c>
      <c r="M10" s="1">
        <v>287.32</v>
      </c>
      <c r="N10" s="1">
        <v>5606.3</v>
      </c>
      <c r="O10" s="1" t="s">
        <v>12</v>
      </c>
      <c r="P10" s="10" t="s">
        <v>12</v>
      </c>
      <c r="Q10" s="23" t="s">
        <v>12</v>
      </c>
    </row>
    <row r="11" spans="1:17" x14ac:dyDescent="0.4">
      <c r="A11" s="71"/>
      <c r="B11" s="5" t="s">
        <v>115</v>
      </c>
      <c r="C11" s="1">
        <v>8</v>
      </c>
      <c r="D11" s="1">
        <v>7</v>
      </c>
      <c r="E11" s="2">
        <v>0.875</v>
      </c>
      <c r="F11" s="1">
        <v>6</v>
      </c>
      <c r="G11" s="2">
        <v>0.75</v>
      </c>
      <c r="H11" s="10">
        <v>16287.08</v>
      </c>
      <c r="I11" s="1" t="s">
        <v>12</v>
      </c>
      <c r="J11" s="10" t="s">
        <v>12</v>
      </c>
      <c r="K11" s="11" t="s">
        <v>12</v>
      </c>
      <c r="L11" s="10">
        <v>16287.93</v>
      </c>
      <c r="M11" s="10">
        <v>10996.355</v>
      </c>
      <c r="N11" s="10">
        <v>2.7667000000000002</v>
      </c>
      <c r="O11" s="1" t="s">
        <v>12</v>
      </c>
      <c r="P11" s="10" t="s">
        <v>12</v>
      </c>
      <c r="Q11" s="23" t="s">
        <v>12</v>
      </c>
    </row>
    <row r="12" spans="1:17" x14ac:dyDescent="0.4">
      <c r="A12" s="71"/>
      <c r="B12" s="5" t="s">
        <v>116</v>
      </c>
      <c r="C12" s="1">
        <v>10</v>
      </c>
      <c r="D12" s="1">
        <v>7</v>
      </c>
      <c r="E12" s="2">
        <v>0.7</v>
      </c>
      <c r="F12" s="1">
        <v>7</v>
      </c>
      <c r="G12" s="2">
        <v>0.7</v>
      </c>
      <c r="H12" s="10">
        <v>11945.08</v>
      </c>
      <c r="I12" s="1" t="s">
        <v>12</v>
      </c>
      <c r="J12" s="10" t="s">
        <v>12</v>
      </c>
      <c r="K12" s="11" t="s">
        <v>12</v>
      </c>
      <c r="L12" s="10">
        <v>11945.08</v>
      </c>
      <c r="M12" s="10">
        <v>45.02</v>
      </c>
      <c r="N12" s="10">
        <v>2027.2</v>
      </c>
      <c r="O12" s="1" t="s">
        <v>12</v>
      </c>
      <c r="P12" s="10" t="s">
        <v>12</v>
      </c>
      <c r="Q12" s="23" t="s">
        <v>12</v>
      </c>
    </row>
    <row r="13" spans="1:17" x14ac:dyDescent="0.4">
      <c r="A13" s="71"/>
      <c r="B13" s="32" t="s">
        <v>8</v>
      </c>
      <c r="C13" s="6">
        <f>SUM(C6:C12)</f>
        <v>77</v>
      </c>
      <c r="D13" s="6">
        <f>SUM(D6:D12)</f>
        <v>56</v>
      </c>
      <c r="E13" s="14">
        <f>D13/C13</f>
        <v>0.72727272727272729</v>
      </c>
      <c r="F13" s="6">
        <f>SUM(F6:F12)</f>
        <v>55</v>
      </c>
      <c r="G13" s="14">
        <f>F13/C13</f>
        <v>0.7142857142857143</v>
      </c>
      <c r="H13" s="12">
        <f>SUM(H6:H12)</f>
        <v>327535.33500000008</v>
      </c>
      <c r="I13" s="12">
        <f>SUM(I6:I12)</f>
        <v>4.1868499999999997</v>
      </c>
      <c r="J13" s="12">
        <f>SUM(J6:J12)</f>
        <v>0</v>
      </c>
      <c r="K13" s="15">
        <v>0</v>
      </c>
      <c r="L13" s="12">
        <f>SUM(L6:L12)</f>
        <v>327536.18500000006</v>
      </c>
      <c r="M13" s="12">
        <f>SUM(M6:M12)</f>
        <v>41250.719999999994</v>
      </c>
      <c r="N13" s="12">
        <f>SUM(N6:N12)</f>
        <v>219544.62669999999</v>
      </c>
      <c r="O13" s="12">
        <f>SUM(O7:O12)</f>
        <v>0</v>
      </c>
      <c r="P13" s="12">
        <f>SUM(P6:P12)</f>
        <v>0</v>
      </c>
      <c r="Q13" s="24" t="s">
        <v>12</v>
      </c>
    </row>
    <row r="14" spans="1:17" x14ac:dyDescent="0.4">
      <c r="A14" s="86"/>
      <c r="B14" s="87"/>
      <c r="C14" s="87"/>
      <c r="D14" s="87"/>
      <c r="E14" s="87"/>
      <c r="F14" s="87"/>
      <c r="G14" s="87"/>
      <c r="H14" s="87"/>
      <c r="I14" s="87"/>
      <c r="J14" s="87"/>
      <c r="K14" s="87"/>
      <c r="L14" s="87"/>
      <c r="M14" s="87"/>
      <c r="N14" s="87"/>
      <c r="O14" s="87"/>
      <c r="P14" s="87"/>
      <c r="Q14" s="88"/>
    </row>
    <row r="15" spans="1:17" x14ac:dyDescent="0.4">
      <c r="A15" s="80" t="s">
        <v>13</v>
      </c>
      <c r="B15" s="5" t="s">
        <v>22</v>
      </c>
      <c r="C15" s="1">
        <v>23</v>
      </c>
      <c r="D15" s="1">
        <v>22</v>
      </c>
      <c r="E15" s="11">
        <v>0.95650000000000002</v>
      </c>
      <c r="F15" s="1">
        <v>19</v>
      </c>
      <c r="G15" s="11">
        <v>0.95650000000000002</v>
      </c>
      <c r="H15" s="10">
        <v>3128.7215999999999</v>
      </c>
      <c r="I15" s="1" t="s">
        <v>12</v>
      </c>
      <c r="J15" s="10">
        <v>1294.3478</v>
      </c>
      <c r="K15" s="11">
        <v>0.41370000000000001</v>
      </c>
      <c r="L15" s="10">
        <v>3128.7215999999999</v>
      </c>
      <c r="M15" s="10">
        <v>1994.8771999999999</v>
      </c>
      <c r="N15" s="1">
        <v>160.5034</v>
      </c>
      <c r="O15" s="10" t="s">
        <v>12</v>
      </c>
      <c r="P15" s="10">
        <v>1834.3738000000001</v>
      </c>
      <c r="Q15" s="23">
        <v>0.95650000000000002</v>
      </c>
    </row>
    <row r="16" spans="1:17" x14ac:dyDescent="0.4">
      <c r="A16" s="81"/>
      <c r="B16" s="5" t="s">
        <v>23</v>
      </c>
      <c r="C16" s="1">
        <v>34</v>
      </c>
      <c r="D16" s="1">
        <v>33</v>
      </c>
      <c r="E16" s="11">
        <v>0.97050000000000003</v>
      </c>
      <c r="F16" s="1">
        <v>29</v>
      </c>
      <c r="G16" s="11">
        <v>0.85289999999999999</v>
      </c>
      <c r="H16" s="10">
        <v>26462.204399999999</v>
      </c>
      <c r="I16" s="1" t="s">
        <v>12</v>
      </c>
      <c r="J16" s="10">
        <v>1684.4175</v>
      </c>
      <c r="K16" s="11">
        <v>6.3700000000000007E-2</v>
      </c>
      <c r="L16" s="10">
        <v>26462.204399999999</v>
      </c>
      <c r="M16" s="10">
        <v>25412.879799999999</v>
      </c>
      <c r="N16" s="1">
        <v>635.09289999999999</v>
      </c>
      <c r="O16" s="10" t="s">
        <v>12</v>
      </c>
      <c r="P16" s="10">
        <v>24777.78685</v>
      </c>
      <c r="Q16" s="23">
        <v>0.85289999999999999</v>
      </c>
    </row>
    <row r="17" spans="1:17" x14ac:dyDescent="0.4">
      <c r="A17" s="81"/>
      <c r="B17" s="5" t="s">
        <v>24</v>
      </c>
      <c r="C17" s="1">
        <v>20</v>
      </c>
      <c r="D17" s="1">
        <v>20</v>
      </c>
      <c r="E17" s="2">
        <v>1</v>
      </c>
      <c r="F17" s="1">
        <v>17</v>
      </c>
      <c r="G17" s="11">
        <v>0.85</v>
      </c>
      <c r="H17" s="10">
        <v>37978.326699999998</v>
      </c>
      <c r="I17" s="1" t="s">
        <v>12</v>
      </c>
      <c r="J17" s="10">
        <v>1663.5454999999999</v>
      </c>
      <c r="K17" s="11">
        <v>4.3799999999999999E-2</v>
      </c>
      <c r="L17" s="10">
        <v>37978.326699999998</v>
      </c>
      <c r="M17" s="10">
        <v>36319.338600000003</v>
      </c>
      <c r="N17" s="1">
        <v>4.5574000000000003</v>
      </c>
      <c r="O17" s="10" t="s">
        <v>12</v>
      </c>
      <c r="P17" s="10">
        <v>36314.781199999998</v>
      </c>
      <c r="Q17" s="23">
        <v>0.85</v>
      </c>
    </row>
    <row r="18" spans="1:17" x14ac:dyDescent="0.4">
      <c r="A18" s="81"/>
      <c r="B18" s="5" t="s">
        <v>25</v>
      </c>
      <c r="C18" s="1">
        <v>48</v>
      </c>
      <c r="D18" s="1">
        <v>48</v>
      </c>
      <c r="E18" s="2">
        <v>1</v>
      </c>
      <c r="F18" s="1">
        <v>42</v>
      </c>
      <c r="G18" s="11">
        <v>0.875</v>
      </c>
      <c r="H18" s="10">
        <v>103042.4134</v>
      </c>
      <c r="I18" s="1" t="s">
        <v>12</v>
      </c>
      <c r="J18" s="10">
        <v>3359.5758000000001</v>
      </c>
      <c r="K18" s="11">
        <v>3.2599999999999997E-2</v>
      </c>
      <c r="L18" s="10">
        <v>103042.4134</v>
      </c>
      <c r="M18" s="10">
        <v>100646.9093</v>
      </c>
      <c r="N18" s="1">
        <v>964.07169999999996</v>
      </c>
      <c r="O18" s="10" t="s">
        <v>12</v>
      </c>
      <c r="P18" s="10">
        <v>99682.837599999999</v>
      </c>
      <c r="Q18" s="23">
        <v>0.875</v>
      </c>
    </row>
    <row r="19" spans="1:17" x14ac:dyDescent="0.4">
      <c r="A19" s="82"/>
      <c r="B19" s="32" t="s">
        <v>8</v>
      </c>
      <c r="C19" s="6">
        <v>125</v>
      </c>
      <c r="D19" s="6">
        <v>123</v>
      </c>
      <c r="E19" s="14">
        <f>AVERAGE(E15:E18)</f>
        <v>0.98175000000000001</v>
      </c>
      <c r="F19" s="6">
        <v>107</v>
      </c>
      <c r="G19" s="14">
        <f>AVERAGE(G15:G18)</f>
        <v>0.88360000000000005</v>
      </c>
      <c r="H19" s="12">
        <f>SUM(H15:H18)</f>
        <v>170611.6661</v>
      </c>
      <c r="I19" s="12">
        <f t="shared" ref="I19:P19" si="1">SUM(I15:I18)</f>
        <v>0</v>
      </c>
      <c r="J19" s="12">
        <f t="shared" si="1"/>
        <v>8001.8865999999998</v>
      </c>
      <c r="K19" s="15">
        <f>J19/H19</f>
        <v>4.6901169087170645E-2</v>
      </c>
      <c r="L19" s="12">
        <f t="shared" si="1"/>
        <v>170611.6661</v>
      </c>
      <c r="M19" s="12">
        <f t="shared" si="1"/>
        <v>164374.0049</v>
      </c>
      <c r="N19" s="12">
        <f t="shared" si="1"/>
        <v>1764.2253999999998</v>
      </c>
      <c r="O19" s="12">
        <f t="shared" si="1"/>
        <v>0</v>
      </c>
      <c r="P19" s="12">
        <f t="shared" si="1"/>
        <v>162609.77945</v>
      </c>
      <c r="Q19" s="24">
        <v>0.85599999999999998</v>
      </c>
    </row>
    <row r="20" spans="1:17" x14ac:dyDescent="0.4">
      <c r="A20" s="75"/>
      <c r="B20" s="76"/>
      <c r="C20" s="76"/>
      <c r="D20" s="76"/>
      <c r="E20" s="76"/>
      <c r="F20" s="76"/>
      <c r="G20" s="76"/>
      <c r="H20" s="76"/>
      <c r="I20" s="76"/>
      <c r="J20" s="76"/>
      <c r="K20" s="76"/>
      <c r="L20" s="76"/>
      <c r="M20" s="76"/>
      <c r="N20" s="76"/>
      <c r="O20" s="76"/>
      <c r="P20" s="76"/>
      <c r="Q20" s="77"/>
    </row>
    <row r="21" spans="1:17" x14ac:dyDescent="0.4">
      <c r="A21" s="71" t="s">
        <v>14</v>
      </c>
      <c r="B21" s="5" t="s">
        <v>36</v>
      </c>
      <c r="C21" s="1">
        <v>6</v>
      </c>
      <c r="D21" s="1">
        <v>4</v>
      </c>
      <c r="E21" s="11">
        <f>D21/C21</f>
        <v>0.66666666666666663</v>
      </c>
      <c r="F21" s="1">
        <v>2</v>
      </c>
      <c r="G21" s="11">
        <v>0.33329999999999999</v>
      </c>
      <c r="H21" s="1">
        <v>2.97</v>
      </c>
      <c r="I21" s="1" t="s">
        <v>12</v>
      </c>
      <c r="J21" s="1" t="s">
        <v>12</v>
      </c>
      <c r="K21" s="1" t="s">
        <v>12</v>
      </c>
      <c r="L21" s="1">
        <v>2.97</v>
      </c>
      <c r="M21" s="10">
        <v>1058.0999999999999</v>
      </c>
      <c r="N21" s="1" t="s">
        <v>12</v>
      </c>
      <c r="O21" s="1" t="s">
        <v>12</v>
      </c>
      <c r="P21" s="10">
        <v>1058.0999999999999</v>
      </c>
      <c r="Q21" s="25" t="s">
        <v>12</v>
      </c>
    </row>
    <row r="22" spans="1:17" x14ac:dyDescent="0.4">
      <c r="A22" s="71"/>
      <c r="B22" s="5" t="s">
        <v>37</v>
      </c>
      <c r="C22" s="1">
        <v>29</v>
      </c>
      <c r="D22" s="1">
        <v>19</v>
      </c>
      <c r="E22" s="11">
        <f t="shared" ref="E22:E25" si="2">D22/C22</f>
        <v>0.65517241379310343</v>
      </c>
      <c r="F22" s="1">
        <v>10</v>
      </c>
      <c r="G22" s="11">
        <v>0.3448</v>
      </c>
      <c r="H22" s="1">
        <v>543.21</v>
      </c>
      <c r="I22" s="1" t="s">
        <v>12</v>
      </c>
      <c r="J22" s="1" t="s">
        <v>12</v>
      </c>
      <c r="K22" s="1" t="s">
        <v>12</v>
      </c>
      <c r="L22" s="1">
        <v>543.21</v>
      </c>
      <c r="M22" s="10">
        <v>9578.6299999999992</v>
      </c>
      <c r="N22" s="1">
        <v>92.2</v>
      </c>
      <c r="O22" s="1" t="s">
        <v>12</v>
      </c>
      <c r="P22" s="10">
        <v>10510.63</v>
      </c>
      <c r="Q22" s="25" t="s">
        <v>12</v>
      </c>
    </row>
    <row r="23" spans="1:17" x14ac:dyDescent="0.4">
      <c r="A23" s="71"/>
      <c r="B23" s="5" t="s">
        <v>38</v>
      </c>
      <c r="C23" s="1">
        <v>37</v>
      </c>
      <c r="D23" s="1">
        <v>32</v>
      </c>
      <c r="E23" s="11">
        <f t="shared" si="2"/>
        <v>0.86486486486486491</v>
      </c>
      <c r="F23" s="1">
        <v>5</v>
      </c>
      <c r="G23" s="11">
        <v>0.1351</v>
      </c>
      <c r="H23" s="1">
        <v>816.17</v>
      </c>
      <c r="I23" s="1" t="s">
        <v>12</v>
      </c>
      <c r="J23" s="1" t="s">
        <v>12</v>
      </c>
      <c r="K23" s="1" t="s">
        <v>12</v>
      </c>
      <c r="L23" s="1">
        <v>816.17</v>
      </c>
      <c r="M23" s="10">
        <v>10249.450000000001</v>
      </c>
      <c r="N23" s="1">
        <v>307</v>
      </c>
      <c r="O23" s="1" t="s">
        <v>12</v>
      </c>
      <c r="P23" s="10">
        <v>10566.45</v>
      </c>
      <c r="Q23" s="25" t="s">
        <v>12</v>
      </c>
    </row>
    <row r="24" spans="1:17" x14ac:dyDescent="0.4">
      <c r="A24" s="71"/>
      <c r="B24" s="5" t="s">
        <v>39</v>
      </c>
      <c r="C24" s="1">
        <v>15</v>
      </c>
      <c r="D24" s="1">
        <v>13</v>
      </c>
      <c r="E24" s="11">
        <f t="shared" si="2"/>
        <v>0.8666666666666667</v>
      </c>
      <c r="F24" s="1">
        <v>2</v>
      </c>
      <c r="G24" s="11">
        <v>0.1333</v>
      </c>
      <c r="H24" s="1">
        <v>197.74</v>
      </c>
      <c r="I24" s="1" t="s">
        <v>12</v>
      </c>
      <c r="J24" s="1" t="s">
        <v>12</v>
      </c>
      <c r="K24" s="1" t="s">
        <v>12</v>
      </c>
      <c r="L24" s="1">
        <v>197.74</v>
      </c>
      <c r="M24" s="10">
        <v>8774.67</v>
      </c>
      <c r="N24" s="1" t="s">
        <v>12</v>
      </c>
      <c r="O24" s="1" t="s">
        <v>12</v>
      </c>
      <c r="P24" s="10">
        <v>8774.67</v>
      </c>
      <c r="Q24" s="25" t="s">
        <v>12</v>
      </c>
    </row>
    <row r="25" spans="1:17" x14ac:dyDescent="0.4">
      <c r="A25" s="71"/>
      <c r="B25" s="5" t="s">
        <v>40</v>
      </c>
      <c r="C25" s="1">
        <v>6</v>
      </c>
      <c r="D25" s="1">
        <v>6</v>
      </c>
      <c r="E25" s="11">
        <f t="shared" si="2"/>
        <v>1</v>
      </c>
      <c r="F25" s="1" t="s">
        <v>12</v>
      </c>
      <c r="G25" s="1" t="s">
        <v>12</v>
      </c>
      <c r="H25" s="1">
        <v>46.69</v>
      </c>
      <c r="I25" s="1" t="s">
        <v>12</v>
      </c>
      <c r="J25" s="1" t="s">
        <v>12</v>
      </c>
      <c r="K25" s="1" t="s">
        <v>12</v>
      </c>
      <c r="L25" s="1">
        <v>46.69</v>
      </c>
      <c r="M25" s="10">
        <v>7138.08</v>
      </c>
      <c r="N25" s="1" t="s">
        <v>12</v>
      </c>
      <c r="O25" s="1" t="s">
        <v>12</v>
      </c>
      <c r="P25" s="10">
        <v>7138.08</v>
      </c>
      <c r="Q25" s="25" t="s">
        <v>12</v>
      </c>
    </row>
    <row r="26" spans="1:17" x14ac:dyDescent="0.4">
      <c r="A26" s="71"/>
      <c r="B26" s="32" t="s">
        <v>8</v>
      </c>
      <c r="C26" s="6">
        <f>SUM(C21:C25)</f>
        <v>93</v>
      </c>
      <c r="D26" s="6">
        <f>SUM(D21:D25)</f>
        <v>74</v>
      </c>
      <c r="E26" s="14">
        <f>D26/C26</f>
        <v>0.79569892473118276</v>
      </c>
      <c r="F26" s="6">
        <f>SUM(F21:F25)</f>
        <v>19</v>
      </c>
      <c r="G26" s="14">
        <f>F26/C26</f>
        <v>0.20430107526881722</v>
      </c>
      <c r="H26" s="6">
        <f>SUM(H21:H25)</f>
        <v>1606.78</v>
      </c>
      <c r="I26" s="6">
        <f>SUM(I21:I25)</f>
        <v>0</v>
      </c>
      <c r="J26" s="6">
        <f>SUM(J21:J25)</f>
        <v>0</v>
      </c>
      <c r="K26" s="15">
        <f>J26/H26</f>
        <v>0</v>
      </c>
      <c r="L26" s="6">
        <f>SUM(L21:L25)</f>
        <v>1606.78</v>
      </c>
      <c r="M26" s="6">
        <f>SUM(M21:M25)</f>
        <v>36798.93</v>
      </c>
      <c r="N26" s="6">
        <f>SUM(N21:N25)</f>
        <v>399.2</v>
      </c>
      <c r="O26" s="6">
        <f>SUM(O21:O25)</f>
        <v>0</v>
      </c>
      <c r="P26" s="6">
        <f>SUM(P21:P25)</f>
        <v>38047.93</v>
      </c>
      <c r="Q26" s="24" t="s">
        <v>12</v>
      </c>
    </row>
    <row r="27" spans="1:17" x14ac:dyDescent="0.4">
      <c r="A27" s="75"/>
      <c r="B27" s="76"/>
      <c r="C27" s="76"/>
      <c r="D27" s="76"/>
      <c r="E27" s="76"/>
      <c r="F27" s="76"/>
      <c r="G27" s="76"/>
      <c r="H27" s="76"/>
      <c r="I27" s="76"/>
      <c r="J27" s="76"/>
      <c r="K27" s="76"/>
      <c r="L27" s="76"/>
      <c r="M27" s="76"/>
      <c r="N27" s="76"/>
      <c r="O27" s="76"/>
      <c r="P27" s="76"/>
      <c r="Q27" s="77"/>
    </row>
    <row r="28" spans="1:17" x14ac:dyDescent="0.4">
      <c r="A28" s="71" t="s">
        <v>15</v>
      </c>
      <c r="B28" s="5" t="s">
        <v>41</v>
      </c>
      <c r="C28" s="1">
        <v>8</v>
      </c>
      <c r="D28" s="1">
        <v>8</v>
      </c>
      <c r="E28" s="2">
        <v>1</v>
      </c>
      <c r="F28" s="1">
        <v>8</v>
      </c>
      <c r="G28" s="2">
        <v>1</v>
      </c>
      <c r="H28" s="10">
        <v>32394.73</v>
      </c>
      <c r="I28" s="1" t="s">
        <v>12</v>
      </c>
      <c r="J28" s="10">
        <v>29078.15</v>
      </c>
      <c r="K28" s="11">
        <v>0.89759999999999995</v>
      </c>
      <c r="L28" s="10">
        <v>32394.73</v>
      </c>
      <c r="M28" s="10">
        <v>3316.58</v>
      </c>
      <c r="N28" s="1" t="s">
        <v>12</v>
      </c>
      <c r="O28" s="1" t="s">
        <v>12</v>
      </c>
      <c r="P28" s="10">
        <v>3018.0880000000002</v>
      </c>
      <c r="Q28" s="3">
        <v>0.91</v>
      </c>
    </row>
    <row r="29" spans="1:17" x14ac:dyDescent="0.4">
      <c r="A29" s="71"/>
      <c r="B29" s="5" t="s">
        <v>42</v>
      </c>
      <c r="C29" s="1">
        <v>12</v>
      </c>
      <c r="D29" s="1">
        <v>12</v>
      </c>
      <c r="E29" s="2">
        <v>1</v>
      </c>
      <c r="F29" s="1">
        <v>12</v>
      </c>
      <c r="G29" s="2">
        <v>1</v>
      </c>
      <c r="H29" s="10">
        <v>140511.06</v>
      </c>
      <c r="I29" s="1" t="s">
        <v>12</v>
      </c>
      <c r="J29" s="10">
        <v>121346.92</v>
      </c>
      <c r="K29" s="11">
        <v>0.86360000000000003</v>
      </c>
      <c r="L29" s="10">
        <v>140511.06</v>
      </c>
      <c r="M29" s="10">
        <v>19164.14</v>
      </c>
      <c r="N29" s="1" t="s">
        <v>12</v>
      </c>
      <c r="O29" s="1" t="s">
        <v>12</v>
      </c>
      <c r="P29" s="10">
        <v>17631.009999999998</v>
      </c>
      <c r="Q29" s="3">
        <v>0.92</v>
      </c>
    </row>
    <row r="30" spans="1:17" x14ac:dyDescent="0.4">
      <c r="A30" s="71"/>
      <c r="B30" s="5" t="s">
        <v>43</v>
      </c>
      <c r="C30" s="1">
        <v>24</v>
      </c>
      <c r="D30" s="1">
        <v>24</v>
      </c>
      <c r="E30" s="2">
        <v>1</v>
      </c>
      <c r="F30" s="1">
        <v>24</v>
      </c>
      <c r="G30" s="2">
        <v>1</v>
      </c>
      <c r="H30" s="10">
        <v>621238.23</v>
      </c>
      <c r="I30" s="1" t="s">
        <v>12</v>
      </c>
      <c r="J30" s="10">
        <v>522390.27</v>
      </c>
      <c r="K30" s="11">
        <v>0.84089999999999998</v>
      </c>
      <c r="L30" s="10">
        <v>621238.23</v>
      </c>
      <c r="M30" s="10">
        <v>98847.95</v>
      </c>
      <c r="N30" s="1" t="s">
        <v>12</v>
      </c>
      <c r="O30" s="1" t="s">
        <v>12</v>
      </c>
      <c r="P30" s="10">
        <v>91928.59</v>
      </c>
      <c r="Q30" s="3">
        <v>0.93</v>
      </c>
    </row>
    <row r="31" spans="1:17" x14ac:dyDescent="0.4">
      <c r="A31" s="71"/>
      <c r="B31" s="5" t="s">
        <v>44</v>
      </c>
      <c r="C31" s="1">
        <v>32</v>
      </c>
      <c r="D31" s="1">
        <v>32</v>
      </c>
      <c r="E31" s="2">
        <v>1</v>
      </c>
      <c r="F31" s="1">
        <v>32</v>
      </c>
      <c r="G31" s="2">
        <v>1</v>
      </c>
      <c r="H31" s="10">
        <v>361802.2</v>
      </c>
      <c r="I31" s="1" t="s">
        <v>12</v>
      </c>
      <c r="J31" s="10">
        <v>310012.49</v>
      </c>
      <c r="K31" s="11">
        <v>0.8569</v>
      </c>
      <c r="L31" s="10">
        <v>361802.2</v>
      </c>
      <c r="M31" s="10">
        <v>51789.71</v>
      </c>
      <c r="N31" s="1" t="s">
        <v>12</v>
      </c>
      <c r="O31" s="1" t="s">
        <v>12</v>
      </c>
      <c r="P31" s="10">
        <v>46610.74</v>
      </c>
      <c r="Q31" s="3">
        <v>0.9</v>
      </c>
    </row>
    <row r="32" spans="1:17" x14ac:dyDescent="0.4">
      <c r="A32" s="71"/>
      <c r="B32" s="5" t="s">
        <v>45</v>
      </c>
      <c r="C32" s="1">
        <v>22</v>
      </c>
      <c r="D32" s="1">
        <v>22</v>
      </c>
      <c r="E32" s="2">
        <v>1</v>
      </c>
      <c r="F32" s="1">
        <v>22</v>
      </c>
      <c r="G32" s="2">
        <v>1</v>
      </c>
      <c r="H32" s="10">
        <v>536940.46</v>
      </c>
      <c r="I32" s="1" t="s">
        <v>12</v>
      </c>
      <c r="J32" s="10">
        <v>447845.61</v>
      </c>
      <c r="K32" s="11">
        <v>0.83409999999999995</v>
      </c>
      <c r="L32" s="10">
        <v>536940.46</v>
      </c>
      <c r="M32" s="10">
        <v>89094.85</v>
      </c>
      <c r="N32" s="1" t="s">
        <v>12</v>
      </c>
      <c r="O32" s="1" t="s">
        <v>12</v>
      </c>
      <c r="P32" s="10">
        <v>80185.37</v>
      </c>
      <c r="Q32" s="3">
        <v>0.9</v>
      </c>
    </row>
    <row r="33" spans="1:17" x14ac:dyDescent="0.4">
      <c r="A33" s="71"/>
      <c r="B33" s="5" t="s">
        <v>46</v>
      </c>
      <c r="C33" s="1">
        <v>18</v>
      </c>
      <c r="D33" s="1">
        <v>18</v>
      </c>
      <c r="E33" s="2">
        <v>1</v>
      </c>
      <c r="F33" s="1">
        <v>18</v>
      </c>
      <c r="G33" s="2">
        <v>1</v>
      </c>
      <c r="H33" s="10">
        <v>232500.02</v>
      </c>
      <c r="I33" s="1" t="s">
        <v>12</v>
      </c>
      <c r="J33" s="10">
        <v>203401.21</v>
      </c>
      <c r="K33" s="11">
        <v>0.87480000000000002</v>
      </c>
      <c r="L33" s="10">
        <v>232500.02</v>
      </c>
      <c r="M33" s="10">
        <v>29098.81</v>
      </c>
      <c r="N33" s="1" t="s">
        <v>12</v>
      </c>
      <c r="O33" s="1" t="s">
        <v>12</v>
      </c>
      <c r="P33" s="10">
        <v>26479.919999999998</v>
      </c>
      <c r="Q33" s="3">
        <v>0.91</v>
      </c>
    </row>
    <row r="34" spans="1:17" x14ac:dyDescent="0.4">
      <c r="A34" s="71"/>
      <c r="B34" s="5" t="s">
        <v>47</v>
      </c>
      <c r="C34" s="1">
        <v>14</v>
      </c>
      <c r="D34" s="1">
        <v>13</v>
      </c>
      <c r="E34" s="2">
        <v>0.99</v>
      </c>
      <c r="F34" s="1">
        <v>13</v>
      </c>
      <c r="G34" s="2">
        <v>0.99</v>
      </c>
      <c r="H34" s="10">
        <v>208489.67</v>
      </c>
      <c r="I34" s="1" t="s">
        <v>12</v>
      </c>
      <c r="J34" s="10">
        <v>16734.39</v>
      </c>
      <c r="K34" s="11">
        <v>0.80259999999999998</v>
      </c>
      <c r="L34" s="10">
        <v>208489.67</v>
      </c>
      <c r="M34" s="10">
        <v>40657.07</v>
      </c>
      <c r="N34" s="1" t="s">
        <v>12</v>
      </c>
      <c r="O34" s="1" t="s">
        <v>12</v>
      </c>
      <c r="P34" s="10">
        <v>37404.5</v>
      </c>
      <c r="Q34" s="3">
        <v>0.92</v>
      </c>
    </row>
    <row r="35" spans="1:17" x14ac:dyDescent="0.4">
      <c r="A35" s="71"/>
      <c r="B35" s="32" t="s">
        <v>8</v>
      </c>
      <c r="C35" s="6">
        <f>SUM(C28:C34)</f>
        <v>130</v>
      </c>
      <c r="D35" s="6">
        <f>SUM(D28:D34)</f>
        <v>129</v>
      </c>
      <c r="E35" s="14">
        <f>D35/C35</f>
        <v>0.99230769230769234</v>
      </c>
      <c r="F35" s="6">
        <f>SUM(F28:F34)</f>
        <v>129</v>
      </c>
      <c r="G35" s="14">
        <f>F35/C35</f>
        <v>0.99230769230769234</v>
      </c>
      <c r="H35" s="12">
        <f>SUM(H28:H34)</f>
        <v>2133876.37</v>
      </c>
      <c r="I35" s="6">
        <f>SUM(I30:I34)</f>
        <v>0</v>
      </c>
      <c r="J35" s="12">
        <f>SUM(J28:J34)</f>
        <v>1650809.0399999998</v>
      </c>
      <c r="K35" s="15">
        <f>AVERAGE(K28:K34)</f>
        <v>0.85292857142857137</v>
      </c>
      <c r="L35" s="12">
        <f>SUM(L28:L34)</f>
        <v>2133876.37</v>
      </c>
      <c r="M35" s="12">
        <f>SUM(M28:M34)</f>
        <v>331969.11</v>
      </c>
      <c r="N35" s="6">
        <f>SUM(N30:N34)</f>
        <v>0</v>
      </c>
      <c r="O35" s="6">
        <f>SUM(O30:O34)</f>
        <v>0</v>
      </c>
      <c r="P35" s="12">
        <f>SUM(P28:P34)</f>
        <v>303258.21799999999</v>
      </c>
      <c r="Q35" s="24">
        <f>AVERAGE(Q28:Q34)</f>
        <v>0.91285714285714292</v>
      </c>
    </row>
    <row r="36" spans="1:17" x14ac:dyDescent="0.4">
      <c r="A36" s="75"/>
      <c r="B36" s="76"/>
      <c r="C36" s="76"/>
      <c r="D36" s="76"/>
      <c r="E36" s="76"/>
      <c r="F36" s="76"/>
      <c r="G36" s="76"/>
      <c r="H36" s="76"/>
      <c r="I36" s="76"/>
      <c r="J36" s="76"/>
      <c r="K36" s="76"/>
      <c r="L36" s="76"/>
      <c r="M36" s="76"/>
      <c r="N36" s="76"/>
      <c r="O36" s="76"/>
      <c r="P36" s="76"/>
      <c r="Q36" s="77"/>
    </row>
    <row r="37" spans="1:17" x14ac:dyDescent="0.4">
      <c r="A37" s="71" t="s">
        <v>16</v>
      </c>
      <c r="B37" s="5" t="s">
        <v>48</v>
      </c>
      <c r="C37" s="1">
        <v>23</v>
      </c>
      <c r="D37" s="1">
        <v>18</v>
      </c>
      <c r="E37" s="2">
        <v>0.78</v>
      </c>
      <c r="F37" s="1">
        <v>18</v>
      </c>
      <c r="G37" s="2">
        <v>0.78</v>
      </c>
      <c r="H37" s="16">
        <v>1061409</v>
      </c>
      <c r="I37" s="16">
        <v>4504</v>
      </c>
      <c r="J37" s="16">
        <v>257553</v>
      </c>
      <c r="K37" s="2">
        <v>0.25</v>
      </c>
      <c r="L37" s="16">
        <v>1061409</v>
      </c>
      <c r="M37" s="16">
        <v>794848</v>
      </c>
      <c r="N37" s="1" t="s">
        <v>12</v>
      </c>
      <c r="O37" s="16">
        <v>4504</v>
      </c>
      <c r="P37" s="16">
        <v>799352</v>
      </c>
      <c r="Q37" s="3">
        <v>0.75</v>
      </c>
    </row>
    <row r="38" spans="1:17" x14ac:dyDescent="0.4">
      <c r="A38" s="71"/>
      <c r="B38" s="5" t="s">
        <v>49</v>
      </c>
      <c r="C38" s="1">
        <v>30</v>
      </c>
      <c r="D38" s="1">
        <v>29</v>
      </c>
      <c r="E38" s="2">
        <v>0.97</v>
      </c>
      <c r="F38" s="1">
        <v>29</v>
      </c>
      <c r="G38" s="2">
        <v>0.97</v>
      </c>
      <c r="H38" s="16">
        <v>810399</v>
      </c>
      <c r="I38" s="16">
        <v>30386</v>
      </c>
      <c r="J38" s="16">
        <v>475738</v>
      </c>
      <c r="K38" s="2">
        <v>0.62</v>
      </c>
      <c r="L38" s="16">
        <v>810399</v>
      </c>
      <c r="M38" s="16">
        <v>249253</v>
      </c>
      <c r="N38" s="1" t="s">
        <v>12</v>
      </c>
      <c r="O38" s="16">
        <v>55022</v>
      </c>
      <c r="P38" s="16">
        <v>304275</v>
      </c>
      <c r="Q38" s="3">
        <v>0.38</v>
      </c>
    </row>
    <row r="39" spans="1:17" x14ac:dyDescent="0.4">
      <c r="A39" s="71"/>
      <c r="B39" s="5" t="s">
        <v>50</v>
      </c>
      <c r="C39" s="1">
        <v>34</v>
      </c>
      <c r="D39" s="1">
        <v>29</v>
      </c>
      <c r="E39" s="2">
        <v>0.85</v>
      </c>
      <c r="F39" s="1">
        <v>24</v>
      </c>
      <c r="G39" s="2">
        <v>0.71</v>
      </c>
      <c r="H39" s="16">
        <v>461642</v>
      </c>
      <c r="I39" s="16">
        <v>3627</v>
      </c>
      <c r="J39" s="16">
        <v>246406</v>
      </c>
      <c r="K39" s="2">
        <v>0.54</v>
      </c>
      <c r="L39" s="16">
        <v>461642</v>
      </c>
      <c r="M39" s="16">
        <v>204332</v>
      </c>
      <c r="N39" s="16">
        <v>3650</v>
      </c>
      <c r="O39" s="16">
        <v>3627</v>
      </c>
      <c r="P39" s="16">
        <v>211609</v>
      </c>
      <c r="Q39" s="3">
        <v>0.46</v>
      </c>
    </row>
    <row r="40" spans="1:17" x14ac:dyDescent="0.4">
      <c r="A40" s="71"/>
      <c r="B40" s="5" t="s">
        <v>51</v>
      </c>
      <c r="C40" s="1">
        <v>14</v>
      </c>
      <c r="D40" s="1">
        <v>13</v>
      </c>
      <c r="E40" s="2">
        <v>0.93</v>
      </c>
      <c r="F40" s="1">
        <v>13</v>
      </c>
      <c r="G40" s="2">
        <v>0.93</v>
      </c>
      <c r="H40" s="16">
        <v>775060</v>
      </c>
      <c r="I40" s="16">
        <v>88310</v>
      </c>
      <c r="J40" s="16">
        <v>136475</v>
      </c>
      <c r="K40" s="2">
        <v>0.28999999999999998</v>
      </c>
      <c r="L40" s="16">
        <v>775060</v>
      </c>
      <c r="M40" s="16">
        <v>461965</v>
      </c>
      <c r="N40" s="1" t="s">
        <v>12</v>
      </c>
      <c r="O40" s="16">
        <v>88310</v>
      </c>
      <c r="P40" s="16">
        <v>550275</v>
      </c>
      <c r="Q40" s="3">
        <v>0.71</v>
      </c>
    </row>
    <row r="41" spans="1:17" x14ac:dyDescent="0.4">
      <c r="A41" s="71"/>
      <c r="B41" s="5" t="s">
        <v>52</v>
      </c>
      <c r="C41" s="1">
        <v>41</v>
      </c>
      <c r="D41" s="1">
        <v>35</v>
      </c>
      <c r="E41" s="2">
        <v>0.85</v>
      </c>
      <c r="F41" s="1">
        <v>33</v>
      </c>
      <c r="G41" s="2">
        <v>0.8</v>
      </c>
      <c r="H41" s="16">
        <v>86155</v>
      </c>
      <c r="I41" s="16">
        <v>1079</v>
      </c>
      <c r="J41" s="16">
        <v>51798</v>
      </c>
      <c r="K41" s="2">
        <v>0.61</v>
      </c>
      <c r="L41" s="16">
        <v>86155</v>
      </c>
      <c r="M41" s="16">
        <v>31110</v>
      </c>
      <c r="N41" s="16">
        <v>1089</v>
      </c>
      <c r="O41" s="16">
        <v>1079</v>
      </c>
      <c r="P41" s="16">
        <v>33278</v>
      </c>
      <c r="Q41" s="3">
        <v>0.39</v>
      </c>
    </row>
    <row r="42" spans="1:17" x14ac:dyDescent="0.4">
      <c r="A42" s="71"/>
      <c r="B42" s="32" t="s">
        <v>8</v>
      </c>
      <c r="C42" s="6">
        <f>SUM(C37:C41)</f>
        <v>142</v>
      </c>
      <c r="D42" s="6">
        <f>SUM(D37:D41)</f>
        <v>124</v>
      </c>
      <c r="E42" s="14">
        <f>D42/C42</f>
        <v>0.87323943661971826</v>
      </c>
      <c r="F42" s="6">
        <f>SUM(F37:F41)</f>
        <v>117</v>
      </c>
      <c r="G42" s="14">
        <f>F42/C42</f>
        <v>0.823943661971831</v>
      </c>
      <c r="H42" s="12">
        <f>SUM(H37:H41)</f>
        <v>3194665</v>
      </c>
      <c r="I42" s="12">
        <f>SUM(I37:I41)</f>
        <v>127906</v>
      </c>
      <c r="J42" s="12">
        <f>SUM(J37:J41)</f>
        <v>1167970</v>
      </c>
      <c r="K42" s="15">
        <f>AVERAGE(K37:K41)</f>
        <v>0.46200000000000002</v>
      </c>
      <c r="L42" s="12">
        <f>SUM(L37:L41)</f>
        <v>3194665</v>
      </c>
      <c r="M42" s="12">
        <f>SUM(M37:M41)</f>
        <v>1741508</v>
      </c>
      <c r="N42" s="12">
        <f>SUM(N37:N41)</f>
        <v>4739</v>
      </c>
      <c r="O42" s="12">
        <f>SUM(O37:O41)</f>
        <v>152542</v>
      </c>
      <c r="P42" s="12">
        <f>SUM(P37:P41)</f>
        <v>1898789</v>
      </c>
      <c r="Q42" s="24">
        <f>AVERAGE(Q37:Q41)</f>
        <v>0.53800000000000003</v>
      </c>
    </row>
    <row r="43" spans="1:17" x14ac:dyDescent="0.4">
      <c r="A43" s="75"/>
      <c r="B43" s="76"/>
      <c r="C43" s="76"/>
      <c r="D43" s="76"/>
      <c r="E43" s="76"/>
      <c r="F43" s="76"/>
      <c r="G43" s="76"/>
      <c r="H43" s="76"/>
      <c r="I43" s="76"/>
      <c r="J43" s="76"/>
      <c r="K43" s="76"/>
      <c r="L43" s="76"/>
      <c r="M43" s="76"/>
      <c r="N43" s="76"/>
      <c r="O43" s="76"/>
      <c r="P43" s="76"/>
      <c r="Q43" s="77"/>
    </row>
    <row r="44" spans="1:17" x14ac:dyDescent="0.4">
      <c r="A44" s="71" t="s">
        <v>17</v>
      </c>
      <c r="B44" s="5" t="s">
        <v>53</v>
      </c>
      <c r="C44" s="1">
        <v>15</v>
      </c>
      <c r="D44" s="1">
        <v>10</v>
      </c>
      <c r="E44" s="11">
        <v>0.66669999999999996</v>
      </c>
      <c r="F44" s="1">
        <v>10</v>
      </c>
      <c r="G44" s="11">
        <v>0.66669999999999996</v>
      </c>
      <c r="H44" s="10">
        <v>186820.4</v>
      </c>
      <c r="I44" s="1" t="s">
        <v>12</v>
      </c>
      <c r="J44" s="10">
        <v>38765.230000000003</v>
      </c>
      <c r="K44" s="2">
        <v>0.25</v>
      </c>
      <c r="L44" s="10">
        <v>186820.4</v>
      </c>
      <c r="M44" s="10">
        <v>56201.97</v>
      </c>
      <c r="N44" s="10">
        <v>96679.56</v>
      </c>
      <c r="O44" s="10" t="s">
        <v>12</v>
      </c>
      <c r="P44" s="10">
        <v>186820.4</v>
      </c>
      <c r="Q44" s="3">
        <v>0.45</v>
      </c>
    </row>
    <row r="45" spans="1:17" x14ac:dyDescent="0.4">
      <c r="A45" s="71"/>
      <c r="B45" s="5" t="s">
        <v>54</v>
      </c>
      <c r="C45" s="1">
        <v>11</v>
      </c>
      <c r="D45" s="1">
        <v>7</v>
      </c>
      <c r="E45" s="11">
        <v>0.63629999999999998</v>
      </c>
      <c r="F45" s="1">
        <v>7</v>
      </c>
      <c r="G45" s="11">
        <v>0.63629999999999998</v>
      </c>
      <c r="H45" s="10">
        <v>113425.59</v>
      </c>
      <c r="I45" s="1" t="s">
        <v>12</v>
      </c>
      <c r="J45" s="10">
        <v>15652.73</v>
      </c>
      <c r="K45" s="2">
        <v>0.2</v>
      </c>
      <c r="L45" s="10">
        <v>99814.52</v>
      </c>
      <c r="M45" s="10">
        <v>1299.25</v>
      </c>
      <c r="N45" s="10">
        <v>56145.49</v>
      </c>
      <c r="O45" s="10" t="s">
        <v>12</v>
      </c>
      <c r="P45" s="10">
        <v>99814.52</v>
      </c>
      <c r="Q45" s="3">
        <v>0.4</v>
      </c>
    </row>
    <row r="46" spans="1:17" x14ac:dyDescent="0.4">
      <c r="A46" s="71"/>
      <c r="B46" s="5" t="s">
        <v>55</v>
      </c>
      <c r="C46" s="1">
        <v>6</v>
      </c>
      <c r="D46" s="1">
        <v>6</v>
      </c>
      <c r="E46" s="2">
        <v>1</v>
      </c>
      <c r="F46" s="1">
        <v>6</v>
      </c>
      <c r="G46" s="2">
        <v>1</v>
      </c>
      <c r="H46" s="10">
        <v>40128.93</v>
      </c>
      <c r="I46" s="1">
        <v>48.52</v>
      </c>
      <c r="J46" s="10">
        <v>9470.42</v>
      </c>
      <c r="K46" s="2">
        <v>0.45</v>
      </c>
      <c r="L46" s="10">
        <v>38384.230000000003</v>
      </c>
      <c r="M46" s="10">
        <v>2196.21</v>
      </c>
      <c r="N46" s="10">
        <v>20439.583999999999</v>
      </c>
      <c r="O46" s="10" t="s">
        <v>12</v>
      </c>
      <c r="P46" s="10">
        <v>38384.19</v>
      </c>
      <c r="Q46" s="3">
        <v>0.8</v>
      </c>
    </row>
    <row r="47" spans="1:17" x14ac:dyDescent="0.4">
      <c r="A47" s="71"/>
      <c r="B47" s="5" t="s">
        <v>56</v>
      </c>
      <c r="C47" s="1">
        <v>17</v>
      </c>
      <c r="D47" s="1">
        <v>17</v>
      </c>
      <c r="E47" s="2">
        <v>1</v>
      </c>
      <c r="F47" s="1">
        <v>17</v>
      </c>
      <c r="G47" s="2">
        <v>1</v>
      </c>
      <c r="H47" s="10">
        <v>45200.62</v>
      </c>
      <c r="I47" s="1" t="s">
        <v>12</v>
      </c>
      <c r="J47" s="10">
        <v>5442.15</v>
      </c>
      <c r="K47" s="2">
        <v>0.2</v>
      </c>
      <c r="L47" s="10">
        <v>43235.38</v>
      </c>
      <c r="M47" s="10">
        <v>1726.45</v>
      </c>
      <c r="N47" s="10">
        <v>26914.03</v>
      </c>
      <c r="O47" s="10" t="s">
        <v>12</v>
      </c>
      <c r="P47" s="10">
        <v>43235.38</v>
      </c>
      <c r="Q47" s="3">
        <v>0.64</v>
      </c>
    </row>
    <row r="48" spans="1:17" x14ac:dyDescent="0.4">
      <c r="A48" s="71"/>
      <c r="B48" s="5" t="s">
        <v>57</v>
      </c>
      <c r="C48" s="1">
        <v>24</v>
      </c>
      <c r="D48" s="1">
        <v>17</v>
      </c>
      <c r="E48" s="11">
        <v>0.70830000000000004</v>
      </c>
      <c r="F48" s="1">
        <v>17</v>
      </c>
      <c r="G48" s="11">
        <v>0.70830000000000004</v>
      </c>
      <c r="H48" s="10">
        <v>293238.08</v>
      </c>
      <c r="I48" s="1" t="s">
        <v>12</v>
      </c>
      <c r="J48" s="10">
        <v>41314.58</v>
      </c>
      <c r="K48" s="2">
        <v>0.2</v>
      </c>
      <c r="L48" s="10">
        <v>293238.08</v>
      </c>
      <c r="M48" s="10">
        <v>91116.41</v>
      </c>
      <c r="N48" s="10">
        <v>153951.4</v>
      </c>
      <c r="O48" s="10" t="s">
        <v>12</v>
      </c>
      <c r="P48" s="10">
        <v>293238.08</v>
      </c>
      <c r="Q48" s="3">
        <v>0.45</v>
      </c>
    </row>
    <row r="49" spans="1:17" x14ac:dyDescent="0.4">
      <c r="A49" s="71"/>
      <c r="B49" s="32" t="s">
        <v>8</v>
      </c>
      <c r="C49" s="6">
        <f>SUM(C44:C48)</f>
        <v>73</v>
      </c>
      <c r="D49" s="6">
        <f>SUM(D44:D48)</f>
        <v>57</v>
      </c>
      <c r="E49" s="14">
        <f>D49/C49</f>
        <v>0.78082191780821919</v>
      </c>
      <c r="F49" s="6">
        <f>SUM(F44:F48)</f>
        <v>57</v>
      </c>
      <c r="G49" s="14">
        <f>F49/C49</f>
        <v>0.78082191780821919</v>
      </c>
      <c r="H49" s="12">
        <f>SUM(H44:H48)</f>
        <v>678813.62</v>
      </c>
      <c r="I49" s="12">
        <f>SUM(I44:I48)</f>
        <v>48.52</v>
      </c>
      <c r="J49" s="12">
        <f>SUM(J44:J48)</f>
        <v>110645.11</v>
      </c>
      <c r="K49" s="15">
        <f>AVERAGE(K44:K48)</f>
        <v>0.26</v>
      </c>
      <c r="L49" s="12">
        <f>SUM(L44:L48)</f>
        <v>661492.61</v>
      </c>
      <c r="M49" s="12">
        <f>SUM(M44:M48)</f>
        <v>152540.29</v>
      </c>
      <c r="N49" s="12">
        <f>SUM(N44:N48)</f>
        <v>354130.06400000001</v>
      </c>
      <c r="O49" s="12">
        <f>SUM(O44:O48)</f>
        <v>0</v>
      </c>
      <c r="P49" s="12">
        <f>SUM(P44:P48)</f>
        <v>661492.57000000007</v>
      </c>
      <c r="Q49" s="24">
        <f>AVERAGE(Q44:Q48)</f>
        <v>0.54800000000000004</v>
      </c>
    </row>
    <row r="50" spans="1:17" x14ac:dyDescent="0.4">
      <c r="A50" s="75"/>
      <c r="B50" s="76"/>
      <c r="C50" s="76"/>
      <c r="D50" s="76"/>
      <c r="E50" s="76"/>
      <c r="F50" s="76"/>
      <c r="G50" s="76"/>
      <c r="H50" s="76"/>
      <c r="I50" s="76"/>
      <c r="J50" s="76"/>
      <c r="K50" s="76"/>
      <c r="L50" s="76"/>
      <c r="M50" s="76"/>
      <c r="N50" s="76"/>
      <c r="O50" s="76"/>
      <c r="P50" s="76"/>
      <c r="Q50" s="77"/>
    </row>
    <row r="51" spans="1:17" x14ac:dyDescent="0.4">
      <c r="A51" s="71" t="s">
        <v>18</v>
      </c>
      <c r="B51" s="5" t="s">
        <v>58</v>
      </c>
      <c r="C51" s="1">
        <v>18</v>
      </c>
      <c r="D51" s="1">
        <v>18</v>
      </c>
      <c r="E51" s="2">
        <v>1</v>
      </c>
      <c r="F51" s="1">
        <v>18</v>
      </c>
      <c r="G51" s="2">
        <v>1</v>
      </c>
      <c r="H51" s="10">
        <v>156854.89000000001</v>
      </c>
      <c r="I51" s="1" t="s">
        <v>12</v>
      </c>
      <c r="J51" s="10">
        <v>49958.28</v>
      </c>
      <c r="K51" s="11">
        <v>0.31850000000000001</v>
      </c>
      <c r="L51" s="10">
        <v>156854.89000000001</v>
      </c>
      <c r="M51" s="10">
        <v>99031.27</v>
      </c>
      <c r="N51" s="10">
        <v>7859.21</v>
      </c>
      <c r="O51" s="1" t="s">
        <v>12</v>
      </c>
      <c r="P51" s="10">
        <v>106890.35</v>
      </c>
      <c r="Q51" s="23">
        <v>0.51370000000000005</v>
      </c>
    </row>
    <row r="52" spans="1:17" x14ac:dyDescent="0.4">
      <c r="A52" s="71"/>
      <c r="B52" s="5" t="s">
        <v>59</v>
      </c>
      <c r="C52" s="1">
        <v>12</v>
      </c>
      <c r="D52" s="1">
        <v>12</v>
      </c>
      <c r="E52" s="2">
        <v>1</v>
      </c>
      <c r="F52" s="1">
        <v>12</v>
      </c>
      <c r="G52" s="2">
        <v>1</v>
      </c>
      <c r="H52" s="1" t="s">
        <v>64</v>
      </c>
      <c r="I52" s="1" t="s">
        <v>12</v>
      </c>
      <c r="J52" s="10">
        <v>25089.42</v>
      </c>
      <c r="K52" s="2">
        <v>0.34</v>
      </c>
      <c r="L52" s="1" t="s">
        <v>64</v>
      </c>
      <c r="M52" s="10">
        <v>14968.58</v>
      </c>
      <c r="N52" s="10">
        <v>33734.44</v>
      </c>
      <c r="O52" s="1" t="s">
        <v>12</v>
      </c>
      <c r="P52" s="16">
        <v>48703</v>
      </c>
      <c r="Q52" s="23">
        <v>0.30840000000000001</v>
      </c>
    </row>
    <row r="53" spans="1:17" x14ac:dyDescent="0.4">
      <c r="A53" s="71"/>
      <c r="B53" s="5" t="s">
        <v>60</v>
      </c>
      <c r="C53" s="1">
        <v>37</v>
      </c>
      <c r="D53" s="1">
        <v>37</v>
      </c>
      <c r="E53" s="2">
        <v>1</v>
      </c>
      <c r="F53" s="1">
        <v>37</v>
      </c>
      <c r="G53" s="2">
        <v>1</v>
      </c>
      <c r="H53" s="10">
        <v>229557.74</v>
      </c>
      <c r="I53" s="1" t="s">
        <v>12</v>
      </c>
      <c r="J53" s="10">
        <v>85992.33</v>
      </c>
      <c r="K53" s="11">
        <v>0.37459999999999999</v>
      </c>
      <c r="L53" s="10">
        <v>229557.74</v>
      </c>
      <c r="M53" s="10">
        <v>51366.57</v>
      </c>
      <c r="N53" s="10">
        <v>69302.539999999994</v>
      </c>
      <c r="O53" s="1" t="s">
        <v>12</v>
      </c>
      <c r="P53" s="10">
        <v>143561.41</v>
      </c>
      <c r="Q53" s="23">
        <v>0.59499999999999997</v>
      </c>
    </row>
    <row r="54" spans="1:17" x14ac:dyDescent="0.4">
      <c r="A54" s="71"/>
      <c r="B54" s="5" t="s">
        <v>61</v>
      </c>
      <c r="C54" s="1">
        <v>11</v>
      </c>
      <c r="D54" s="1">
        <v>11</v>
      </c>
      <c r="E54" s="2">
        <v>1</v>
      </c>
      <c r="F54" s="1">
        <v>11</v>
      </c>
      <c r="G54" s="2">
        <v>1</v>
      </c>
      <c r="H54" s="10">
        <v>29812.02</v>
      </c>
      <c r="I54" s="1" t="s">
        <v>12</v>
      </c>
      <c r="J54" s="10">
        <v>10434.209999999999</v>
      </c>
      <c r="K54" s="2">
        <v>0.35</v>
      </c>
      <c r="L54" s="10">
        <v>29812.02</v>
      </c>
      <c r="M54" s="1">
        <v>0</v>
      </c>
      <c r="N54" s="10">
        <v>19675.93</v>
      </c>
      <c r="O54" s="1" t="s">
        <v>12</v>
      </c>
      <c r="P54" s="10">
        <v>19675.93</v>
      </c>
      <c r="Q54" s="23">
        <v>0.57340000000000002</v>
      </c>
    </row>
    <row r="55" spans="1:17" x14ac:dyDescent="0.4">
      <c r="A55" s="71"/>
      <c r="B55" s="5" t="s">
        <v>62</v>
      </c>
      <c r="C55" s="1">
        <v>21</v>
      </c>
      <c r="D55" s="1">
        <v>21</v>
      </c>
      <c r="E55" s="2">
        <v>1</v>
      </c>
      <c r="F55" s="1">
        <v>21</v>
      </c>
      <c r="G55" s="2">
        <v>1</v>
      </c>
      <c r="H55" s="10">
        <v>146099.89000000001</v>
      </c>
      <c r="I55" s="1" t="s">
        <v>12</v>
      </c>
      <c r="J55" s="10">
        <v>81319.199999999997</v>
      </c>
      <c r="K55" s="11">
        <v>0.55659999999999998</v>
      </c>
      <c r="L55" s="10">
        <v>146099.89000000001</v>
      </c>
      <c r="M55" s="10">
        <v>16986.080000000002</v>
      </c>
      <c r="N55" s="10">
        <v>47787.95</v>
      </c>
      <c r="O55" s="1" t="s">
        <v>12</v>
      </c>
      <c r="P55" s="16">
        <v>64774.03</v>
      </c>
      <c r="Q55" s="3">
        <v>0.38</v>
      </c>
    </row>
    <row r="56" spans="1:17" x14ac:dyDescent="0.4">
      <c r="A56" s="71"/>
      <c r="B56" s="5" t="s">
        <v>63</v>
      </c>
      <c r="C56" s="1">
        <v>15</v>
      </c>
      <c r="D56" s="1">
        <v>15</v>
      </c>
      <c r="E56" s="2">
        <v>1</v>
      </c>
      <c r="F56" s="1">
        <v>15</v>
      </c>
      <c r="G56" s="2">
        <v>1</v>
      </c>
      <c r="H56" s="10">
        <v>93370.9</v>
      </c>
      <c r="I56" s="1" t="s">
        <v>12</v>
      </c>
      <c r="J56" s="10">
        <v>32679.82</v>
      </c>
      <c r="K56" s="2">
        <v>0.35</v>
      </c>
      <c r="L56" s="10">
        <v>93370.9</v>
      </c>
      <c r="M56" s="10">
        <v>44086.38</v>
      </c>
      <c r="N56" s="10">
        <v>10281.56</v>
      </c>
      <c r="O56" s="1" t="s">
        <v>12</v>
      </c>
      <c r="P56" s="16">
        <v>61624.79</v>
      </c>
      <c r="Q56" s="23">
        <v>0.3392</v>
      </c>
    </row>
    <row r="57" spans="1:17" x14ac:dyDescent="0.4">
      <c r="A57" s="71"/>
      <c r="B57" s="32" t="s">
        <v>8</v>
      </c>
      <c r="C57" s="6">
        <f>SUM(C51:C56)</f>
        <v>114</v>
      </c>
      <c r="D57" s="6">
        <f>SUM(D51:D56)</f>
        <v>114</v>
      </c>
      <c r="E57" s="14">
        <f>D57/C57</f>
        <v>1</v>
      </c>
      <c r="F57" s="6">
        <f>SUM(F51:F56)</f>
        <v>114</v>
      </c>
      <c r="G57" s="14">
        <f>F57/C57</f>
        <v>1</v>
      </c>
      <c r="H57" s="12">
        <f>SUM(H51:H56)</f>
        <v>655695.44000000006</v>
      </c>
      <c r="I57" s="12">
        <f>SUM(I52:I56)</f>
        <v>0</v>
      </c>
      <c r="J57" s="12">
        <f>SUM(J51:J56)</f>
        <v>285473.26</v>
      </c>
      <c r="K57" s="15">
        <f>AVERAGE(K51:K56)</f>
        <v>0.38161666666666672</v>
      </c>
      <c r="L57" s="12">
        <f>SUM(L51:L56)</f>
        <v>655695.44000000006</v>
      </c>
      <c r="M57" s="12">
        <f>SUM(M51:M56)</f>
        <v>226438.88</v>
      </c>
      <c r="N57" s="12">
        <f>SUM(N51:N56)</f>
        <v>188641.63</v>
      </c>
      <c r="O57" s="12">
        <f>SUM(O52:O56)</f>
        <v>0</v>
      </c>
      <c r="P57" s="12">
        <f>SUM(P51:P56)</f>
        <v>445229.50999999995</v>
      </c>
      <c r="Q57" s="24">
        <f>AVERAGE(Q51:Q56)</f>
        <v>0.45161666666666661</v>
      </c>
    </row>
    <row r="58" spans="1:17" x14ac:dyDescent="0.4">
      <c r="A58" s="75"/>
      <c r="B58" s="76"/>
      <c r="C58" s="76"/>
      <c r="D58" s="76"/>
      <c r="E58" s="76"/>
      <c r="F58" s="76"/>
      <c r="G58" s="76"/>
      <c r="H58" s="76"/>
      <c r="I58" s="76"/>
      <c r="J58" s="76"/>
      <c r="K58" s="76"/>
      <c r="L58" s="76"/>
      <c r="M58" s="76"/>
      <c r="N58" s="76"/>
      <c r="O58" s="76"/>
      <c r="P58" s="76"/>
      <c r="Q58" s="77"/>
    </row>
    <row r="59" spans="1:17" x14ac:dyDescent="0.4">
      <c r="A59" s="71" t="s">
        <v>19</v>
      </c>
      <c r="B59" s="5" t="s">
        <v>65</v>
      </c>
      <c r="C59" s="1">
        <v>17</v>
      </c>
      <c r="D59" s="1">
        <v>17</v>
      </c>
      <c r="E59" s="2">
        <v>1</v>
      </c>
      <c r="F59" s="1">
        <v>17</v>
      </c>
      <c r="G59" s="2">
        <v>1</v>
      </c>
      <c r="H59" s="10">
        <v>41101.71</v>
      </c>
      <c r="I59" s="1" t="s">
        <v>12</v>
      </c>
      <c r="J59" s="10">
        <v>6562.8370000000004</v>
      </c>
      <c r="K59" s="2">
        <v>0.51</v>
      </c>
      <c r="L59" s="10">
        <v>41101.71</v>
      </c>
      <c r="M59" s="10">
        <v>19021.310000000001</v>
      </c>
      <c r="N59" s="10">
        <v>2470.64</v>
      </c>
      <c r="O59" s="1" t="s">
        <v>12</v>
      </c>
      <c r="P59" s="10">
        <v>22464.49</v>
      </c>
      <c r="Q59" s="23">
        <v>0.54659999999999997</v>
      </c>
    </row>
    <row r="60" spans="1:17" x14ac:dyDescent="0.4">
      <c r="A60" s="71"/>
      <c r="B60" s="5" t="s">
        <v>66</v>
      </c>
      <c r="C60" s="1">
        <v>18</v>
      </c>
      <c r="D60" s="1">
        <v>18</v>
      </c>
      <c r="E60" s="2">
        <v>1</v>
      </c>
      <c r="F60" s="1">
        <v>18</v>
      </c>
      <c r="G60" s="2">
        <v>1</v>
      </c>
      <c r="H60" s="10">
        <v>8887.68</v>
      </c>
      <c r="I60" s="1" t="s">
        <v>12</v>
      </c>
      <c r="J60" s="10">
        <v>1110.3040000000001</v>
      </c>
      <c r="K60" s="2">
        <v>0.71</v>
      </c>
      <c r="L60" s="10">
        <v>8887.68</v>
      </c>
      <c r="M60" s="1">
        <v>730</v>
      </c>
      <c r="N60" s="10">
        <v>1202.73</v>
      </c>
      <c r="O60" s="1" t="s">
        <v>12</v>
      </c>
      <c r="P60" s="10">
        <v>2316.9699999999998</v>
      </c>
      <c r="Q60" s="23">
        <v>0.26069999999999999</v>
      </c>
    </row>
    <row r="61" spans="1:17" x14ac:dyDescent="0.4">
      <c r="A61" s="71"/>
      <c r="B61" s="5" t="s">
        <v>67</v>
      </c>
      <c r="C61" s="1">
        <v>17</v>
      </c>
      <c r="D61" s="1">
        <v>17</v>
      </c>
      <c r="E61" s="2">
        <v>1</v>
      </c>
      <c r="F61" s="1">
        <v>17</v>
      </c>
      <c r="G61" s="2">
        <v>1</v>
      </c>
      <c r="H61" s="10">
        <v>68536.960000000006</v>
      </c>
      <c r="I61" s="1" t="s">
        <v>12</v>
      </c>
      <c r="J61" s="10">
        <v>8035.9449999999997</v>
      </c>
      <c r="K61" s="11">
        <v>0.62260000000000004</v>
      </c>
      <c r="L61" s="10">
        <v>68536.960000000006</v>
      </c>
      <c r="M61" s="10">
        <v>12266.968000000001</v>
      </c>
      <c r="N61" s="10">
        <v>4030.47</v>
      </c>
      <c r="O61" s="1" t="s">
        <v>12</v>
      </c>
      <c r="P61" s="10">
        <v>17915.68</v>
      </c>
      <c r="Q61" s="23">
        <v>0.26140000000000002</v>
      </c>
    </row>
    <row r="62" spans="1:17" x14ac:dyDescent="0.4">
      <c r="A62" s="71"/>
      <c r="B62" s="5" t="s">
        <v>68</v>
      </c>
      <c r="C62" s="1">
        <v>5</v>
      </c>
      <c r="D62" s="1">
        <v>5</v>
      </c>
      <c r="E62" s="2">
        <v>1</v>
      </c>
      <c r="F62" s="1">
        <v>5</v>
      </c>
      <c r="G62" s="2">
        <v>1</v>
      </c>
      <c r="H62" s="10">
        <v>27910.812999999998</v>
      </c>
      <c r="I62" s="10">
        <v>1257.002</v>
      </c>
      <c r="J62" s="10">
        <v>25556.27</v>
      </c>
      <c r="K62" s="11">
        <v>4.4999999999999998E-2</v>
      </c>
      <c r="L62" s="10">
        <v>27910.812999999998</v>
      </c>
      <c r="M62" s="1">
        <v>946.8</v>
      </c>
      <c r="N62" s="1">
        <v>99.691000000000003</v>
      </c>
      <c r="O62" s="1" t="s">
        <v>12</v>
      </c>
      <c r="P62" s="10">
        <v>1097.54</v>
      </c>
      <c r="Q62" s="23">
        <v>3.9300000000000002E-2</v>
      </c>
    </row>
    <row r="63" spans="1:17" x14ac:dyDescent="0.4">
      <c r="A63" s="71"/>
      <c r="B63" s="5" t="s">
        <v>69</v>
      </c>
      <c r="C63" s="1">
        <v>44</v>
      </c>
      <c r="D63" s="1">
        <v>44</v>
      </c>
      <c r="E63" s="2">
        <v>1</v>
      </c>
      <c r="F63" s="1">
        <v>44</v>
      </c>
      <c r="G63" s="2">
        <v>1</v>
      </c>
      <c r="H63" s="10">
        <v>333084.07699999999</v>
      </c>
      <c r="I63" s="1">
        <v>4.6050000000000004</v>
      </c>
      <c r="J63" s="10">
        <v>27219.131000000001</v>
      </c>
      <c r="K63" s="11">
        <v>0.69669999999999999</v>
      </c>
      <c r="L63" s="10">
        <v>333084.07699999999</v>
      </c>
      <c r="M63" s="10">
        <v>214716.61</v>
      </c>
      <c r="N63" s="10">
        <v>20494.5</v>
      </c>
      <c r="O63" s="1" t="s">
        <v>12</v>
      </c>
      <c r="P63" s="10">
        <v>236757.73300000001</v>
      </c>
      <c r="Q63" s="23">
        <v>0.71079999999999999</v>
      </c>
    </row>
    <row r="64" spans="1:17" x14ac:dyDescent="0.4">
      <c r="A64" s="71"/>
      <c r="B64" s="5" t="s">
        <v>70</v>
      </c>
      <c r="C64" s="1">
        <v>32</v>
      </c>
      <c r="D64" s="1">
        <v>32</v>
      </c>
      <c r="E64" s="2">
        <v>1</v>
      </c>
      <c r="F64" s="1">
        <v>32</v>
      </c>
      <c r="G64" s="2">
        <v>1</v>
      </c>
      <c r="H64" s="10">
        <v>476037.63900000002</v>
      </c>
      <c r="I64" s="1">
        <v>118.82299999999999</v>
      </c>
      <c r="J64" s="10">
        <v>41277.534</v>
      </c>
      <c r="K64" s="11">
        <v>0.28939999999999999</v>
      </c>
      <c r="L64" s="10">
        <v>476037.63900000002</v>
      </c>
      <c r="M64" s="10">
        <v>328223.43</v>
      </c>
      <c r="N64" s="10">
        <v>8165.76</v>
      </c>
      <c r="O64" s="1" t="s">
        <v>12</v>
      </c>
      <c r="P64" s="10">
        <v>338359.49</v>
      </c>
      <c r="Q64" s="23">
        <v>0.71079999999999999</v>
      </c>
    </row>
    <row r="65" spans="1:17" x14ac:dyDescent="0.4">
      <c r="A65" s="71"/>
      <c r="B65" s="32" t="s">
        <v>8</v>
      </c>
      <c r="C65" s="6">
        <f>SUM(C59:C64)</f>
        <v>133</v>
      </c>
      <c r="D65" s="6">
        <f>SUM(D59:D64)</f>
        <v>133</v>
      </c>
      <c r="E65" s="14">
        <f>D65/C65</f>
        <v>1</v>
      </c>
      <c r="F65" s="6">
        <f>SUM(F59:F64)</f>
        <v>133</v>
      </c>
      <c r="G65" s="14">
        <f>F65/C65</f>
        <v>1</v>
      </c>
      <c r="H65" s="12">
        <f>SUM(H59:H64)</f>
        <v>955558.87899999996</v>
      </c>
      <c r="I65" s="12">
        <f>SUM(I59:I64)</f>
        <v>1380.43</v>
      </c>
      <c r="J65" s="12">
        <f>SUM(J59:J64)</f>
        <v>109762.02099999999</v>
      </c>
      <c r="K65" s="15">
        <f>AVERAGE(K59:K64)</f>
        <v>0.47894999999999999</v>
      </c>
      <c r="L65" s="12">
        <f>SUM(L59:L64)</f>
        <v>955558.87899999996</v>
      </c>
      <c r="M65" s="12">
        <f>SUM(M59:M64)</f>
        <v>575905.11800000002</v>
      </c>
      <c r="N65" s="12">
        <f>SUM(N59:N64)</f>
        <v>36463.790999999997</v>
      </c>
      <c r="O65" s="12">
        <f>SUM(O60:O64)</f>
        <v>0</v>
      </c>
      <c r="P65" s="12">
        <f>SUM(P59:P64)</f>
        <v>618911.90299999993</v>
      </c>
      <c r="Q65" s="24">
        <f>AVERAGE(Q59:Q64)</f>
        <v>0.42159999999999997</v>
      </c>
    </row>
    <row r="66" spans="1:17" x14ac:dyDescent="0.4">
      <c r="A66" s="75"/>
      <c r="B66" s="76"/>
      <c r="C66" s="76"/>
      <c r="D66" s="76"/>
      <c r="E66" s="76"/>
      <c r="F66" s="76"/>
      <c r="G66" s="76"/>
      <c r="H66" s="76"/>
      <c r="I66" s="76"/>
      <c r="J66" s="76"/>
      <c r="K66" s="76"/>
      <c r="L66" s="76"/>
      <c r="M66" s="76"/>
      <c r="N66" s="76"/>
      <c r="O66" s="76"/>
      <c r="P66" s="76"/>
      <c r="Q66" s="77"/>
    </row>
    <row r="67" spans="1:17" x14ac:dyDescent="0.4">
      <c r="A67" s="71" t="s">
        <v>20</v>
      </c>
      <c r="B67" s="5" t="s">
        <v>71</v>
      </c>
      <c r="C67" s="1">
        <v>48</v>
      </c>
      <c r="D67" s="1">
        <v>29</v>
      </c>
      <c r="E67" s="2">
        <v>0.6</v>
      </c>
      <c r="F67" s="1">
        <v>29</v>
      </c>
      <c r="G67" s="2">
        <v>0.6</v>
      </c>
      <c r="H67" s="1">
        <v>598.99</v>
      </c>
      <c r="I67" s="16">
        <v>7893</v>
      </c>
      <c r="J67" s="16">
        <v>23260</v>
      </c>
      <c r="K67" s="11">
        <v>0.4879</v>
      </c>
      <c r="L67" s="1">
        <v>598.99</v>
      </c>
      <c r="M67" s="1">
        <v>710.12</v>
      </c>
      <c r="N67" s="1">
        <v>91.79</v>
      </c>
      <c r="O67" s="16">
        <v>7893</v>
      </c>
      <c r="P67" s="1">
        <v>819.15</v>
      </c>
      <c r="Q67" s="78">
        <v>0.7</v>
      </c>
    </row>
    <row r="68" spans="1:17" x14ac:dyDescent="0.4">
      <c r="A68" s="71"/>
      <c r="B68" s="5" t="s">
        <v>72</v>
      </c>
      <c r="C68" s="1">
        <v>53</v>
      </c>
      <c r="D68" s="1">
        <v>28</v>
      </c>
      <c r="E68" s="2">
        <v>0.53</v>
      </c>
      <c r="F68" s="1">
        <v>28</v>
      </c>
      <c r="G68" s="2">
        <v>0.53</v>
      </c>
      <c r="H68" s="10">
        <v>3526.68</v>
      </c>
      <c r="I68" s="1" t="s">
        <v>12</v>
      </c>
      <c r="J68" s="16">
        <v>64060</v>
      </c>
      <c r="K68" s="11">
        <v>0.50370000000000004</v>
      </c>
      <c r="L68" s="10">
        <v>3526.68</v>
      </c>
      <c r="M68" s="1">
        <v>57.09</v>
      </c>
      <c r="N68" s="1">
        <v>82.04</v>
      </c>
      <c r="O68" s="1" t="s">
        <v>12</v>
      </c>
      <c r="P68" s="1">
        <v>139.13</v>
      </c>
      <c r="Q68" s="79"/>
    </row>
    <row r="69" spans="1:17" x14ac:dyDescent="0.4">
      <c r="A69" s="71"/>
      <c r="B69" s="5" t="s">
        <v>73</v>
      </c>
      <c r="C69" s="1">
        <v>25</v>
      </c>
      <c r="D69" s="1">
        <v>15</v>
      </c>
      <c r="E69" s="2">
        <v>0.6</v>
      </c>
      <c r="F69" s="1">
        <v>15</v>
      </c>
      <c r="G69" s="2">
        <v>0.6</v>
      </c>
      <c r="H69" s="1">
        <v>865.87</v>
      </c>
      <c r="I69" s="1" t="s">
        <v>12</v>
      </c>
      <c r="J69" s="16">
        <v>5930</v>
      </c>
      <c r="K69" s="11">
        <v>0.68920000000000003</v>
      </c>
      <c r="L69" s="1">
        <v>865.87</v>
      </c>
      <c r="M69" s="1">
        <v>164.77</v>
      </c>
      <c r="N69" s="1">
        <v>36.340000000000003</v>
      </c>
      <c r="O69" s="1" t="s">
        <v>12</v>
      </c>
      <c r="P69" s="1">
        <v>201.11</v>
      </c>
      <c r="Q69" s="79"/>
    </row>
    <row r="70" spans="1:17" x14ac:dyDescent="0.4">
      <c r="A70" s="71"/>
      <c r="B70" s="5" t="s">
        <v>74</v>
      </c>
      <c r="C70" s="1">
        <v>6</v>
      </c>
      <c r="D70" s="1">
        <v>4</v>
      </c>
      <c r="E70" s="2">
        <v>0.67</v>
      </c>
      <c r="F70" s="1">
        <v>4</v>
      </c>
      <c r="G70" s="2">
        <v>0.67</v>
      </c>
      <c r="H70" s="1">
        <v>36.33</v>
      </c>
      <c r="I70" s="1" t="s">
        <v>12</v>
      </c>
      <c r="J70" s="16">
        <v>9770</v>
      </c>
      <c r="K70" s="11">
        <v>0.8357</v>
      </c>
      <c r="L70" s="1">
        <v>36.33</v>
      </c>
      <c r="M70" s="1">
        <v>2.36</v>
      </c>
      <c r="N70" s="1">
        <v>6.08</v>
      </c>
      <c r="O70" s="1" t="s">
        <v>12</v>
      </c>
      <c r="P70" s="1">
        <v>8.44</v>
      </c>
      <c r="Q70" s="79"/>
    </row>
    <row r="71" spans="1:17" x14ac:dyDescent="0.4">
      <c r="A71" s="71"/>
      <c r="B71" s="32" t="s">
        <v>8</v>
      </c>
      <c r="C71" s="6">
        <f>SUM(C67:C70)</f>
        <v>132</v>
      </c>
      <c r="D71" s="6">
        <f>SUM(D67:D70)</f>
        <v>76</v>
      </c>
      <c r="E71" s="14">
        <f>D71/C71</f>
        <v>0.5757575757575758</v>
      </c>
      <c r="F71" s="6">
        <f>SUM(F67:F70)</f>
        <v>76</v>
      </c>
      <c r="G71" s="14">
        <f>F71/C71</f>
        <v>0.5757575757575758</v>
      </c>
      <c r="H71" s="12">
        <f>SUM(H67:H70)</f>
        <v>5027.87</v>
      </c>
      <c r="I71" s="12">
        <f>SUM(I67:I70)</f>
        <v>7893</v>
      </c>
      <c r="J71" s="12">
        <f>SUM(J67:J70)</f>
        <v>103020</v>
      </c>
      <c r="K71" s="15">
        <f>AVERAGE(K67:K70)</f>
        <v>0.62912500000000005</v>
      </c>
      <c r="L71" s="12">
        <f>SUM(L67:L70)</f>
        <v>5027.87</v>
      </c>
      <c r="M71" s="12">
        <f>SUM(M67:M70)</f>
        <v>934.34</v>
      </c>
      <c r="N71" s="12">
        <f>SUM(N67:N70)</f>
        <v>216.25000000000003</v>
      </c>
      <c r="O71" s="12">
        <f>SUM(O67:O70)</f>
        <v>7893</v>
      </c>
      <c r="P71" s="12">
        <f>SUM(P67:P70)</f>
        <v>1167.83</v>
      </c>
      <c r="Q71" s="79"/>
    </row>
    <row r="72" spans="1:17" x14ac:dyDescent="0.4">
      <c r="A72" s="75"/>
      <c r="B72" s="76"/>
      <c r="C72" s="76"/>
      <c r="D72" s="76"/>
      <c r="E72" s="76"/>
      <c r="F72" s="76"/>
      <c r="G72" s="76"/>
      <c r="H72" s="76"/>
      <c r="I72" s="76"/>
      <c r="J72" s="76"/>
      <c r="K72" s="76"/>
      <c r="L72" s="76"/>
      <c r="M72" s="76"/>
      <c r="N72" s="76"/>
      <c r="O72" s="76"/>
      <c r="P72" s="76"/>
      <c r="Q72" s="77"/>
    </row>
    <row r="73" spans="1:17" x14ac:dyDescent="0.4">
      <c r="A73" s="71" t="s">
        <v>21</v>
      </c>
      <c r="B73" s="5" t="s">
        <v>75</v>
      </c>
      <c r="C73" s="1">
        <v>8</v>
      </c>
      <c r="D73" s="1">
        <v>6</v>
      </c>
      <c r="E73" s="2">
        <v>0.75</v>
      </c>
      <c r="F73" s="1">
        <v>6</v>
      </c>
      <c r="G73" s="2">
        <v>0.75</v>
      </c>
      <c r="H73" s="16">
        <v>9281</v>
      </c>
      <c r="I73" s="1" t="s">
        <v>12</v>
      </c>
      <c r="J73" s="10">
        <v>4960.41</v>
      </c>
      <c r="K73" s="17">
        <f>J73/H73</f>
        <v>0.53446934597564921</v>
      </c>
      <c r="L73" s="16">
        <v>9281</v>
      </c>
      <c r="M73" s="1" t="s">
        <v>12</v>
      </c>
      <c r="N73" s="16">
        <v>7497</v>
      </c>
      <c r="O73" s="1" t="s">
        <v>12</v>
      </c>
      <c r="P73" s="16">
        <v>7497</v>
      </c>
      <c r="Q73" s="3">
        <v>0.81</v>
      </c>
    </row>
    <row r="74" spans="1:17" x14ac:dyDescent="0.4">
      <c r="A74" s="71"/>
      <c r="B74" s="5" t="s">
        <v>76</v>
      </c>
      <c r="C74" s="1">
        <v>23</v>
      </c>
      <c r="D74" s="1">
        <v>22</v>
      </c>
      <c r="E74" s="2">
        <v>0.96</v>
      </c>
      <c r="F74" s="1">
        <v>22</v>
      </c>
      <c r="G74" s="2">
        <v>0.96</v>
      </c>
      <c r="H74" s="16">
        <v>50285</v>
      </c>
      <c r="I74" s="1" t="s">
        <v>12</v>
      </c>
      <c r="J74" s="10">
        <v>35212.120000000003</v>
      </c>
      <c r="K74" s="17">
        <f t="shared" ref="K74:K78" si="3">J74/H74</f>
        <v>0.70025096947399823</v>
      </c>
      <c r="L74" s="16">
        <v>50285</v>
      </c>
      <c r="M74" s="10">
        <v>27223.77</v>
      </c>
      <c r="N74" s="10">
        <v>2490.66</v>
      </c>
      <c r="O74" s="1" t="s">
        <v>12</v>
      </c>
      <c r="P74" s="10">
        <v>29714.43</v>
      </c>
      <c r="Q74" s="3">
        <v>0.59</v>
      </c>
    </row>
    <row r="75" spans="1:17" x14ac:dyDescent="0.4">
      <c r="A75" s="71"/>
      <c r="B75" s="5" t="s">
        <v>77</v>
      </c>
      <c r="C75" s="1">
        <v>43</v>
      </c>
      <c r="D75" s="1">
        <v>40</v>
      </c>
      <c r="E75" s="2">
        <v>0.93</v>
      </c>
      <c r="F75" s="1">
        <v>40</v>
      </c>
      <c r="G75" s="2">
        <v>0.93</v>
      </c>
      <c r="H75" s="16">
        <v>284497</v>
      </c>
      <c r="I75" s="1" t="s">
        <v>12</v>
      </c>
      <c r="J75" s="10">
        <v>202645.35</v>
      </c>
      <c r="K75" s="17">
        <f t="shared" si="3"/>
        <v>0.71229345124904664</v>
      </c>
      <c r="L75" s="16">
        <v>284497</v>
      </c>
      <c r="M75" s="1" t="s">
        <v>81</v>
      </c>
      <c r="N75" s="10">
        <v>55516.34</v>
      </c>
      <c r="O75" s="1" t="s">
        <v>12</v>
      </c>
      <c r="P75" s="10">
        <v>239063.69</v>
      </c>
      <c r="Q75" s="3">
        <v>0.84</v>
      </c>
    </row>
    <row r="76" spans="1:17" x14ac:dyDescent="0.4">
      <c r="A76" s="71"/>
      <c r="B76" s="5" t="s">
        <v>78</v>
      </c>
      <c r="C76" s="1">
        <v>24</v>
      </c>
      <c r="D76" s="1">
        <v>24</v>
      </c>
      <c r="E76" s="2">
        <v>1</v>
      </c>
      <c r="F76" s="1">
        <v>24</v>
      </c>
      <c r="G76" s="2">
        <v>1</v>
      </c>
      <c r="H76" s="16">
        <v>73214</v>
      </c>
      <c r="I76" s="1" t="s">
        <v>12</v>
      </c>
      <c r="J76" s="10">
        <v>47321.33</v>
      </c>
      <c r="K76" s="17">
        <f t="shared" si="3"/>
        <v>0.64634263938590986</v>
      </c>
      <c r="L76" s="16">
        <v>73214</v>
      </c>
      <c r="M76" s="10">
        <v>14630.79</v>
      </c>
      <c r="N76" s="10">
        <v>26119.67</v>
      </c>
      <c r="O76" s="1" t="s">
        <v>12</v>
      </c>
      <c r="P76" s="10">
        <v>50750.46</v>
      </c>
      <c r="Q76" s="3">
        <v>0.69</v>
      </c>
    </row>
    <row r="77" spans="1:17" x14ac:dyDescent="0.4">
      <c r="A77" s="71"/>
      <c r="B77" s="5" t="s">
        <v>79</v>
      </c>
      <c r="C77" s="1">
        <v>26</v>
      </c>
      <c r="D77" s="1">
        <v>23</v>
      </c>
      <c r="E77" s="2">
        <v>0.88</v>
      </c>
      <c r="F77" s="1">
        <v>23</v>
      </c>
      <c r="G77" s="2">
        <v>0.88</v>
      </c>
      <c r="H77" s="16">
        <v>143803</v>
      </c>
      <c r="I77" s="18" t="s">
        <v>12</v>
      </c>
      <c r="J77" s="10">
        <v>93120.95</v>
      </c>
      <c r="K77" s="17">
        <f t="shared" si="3"/>
        <v>0.64755916079636722</v>
      </c>
      <c r="L77" s="16">
        <v>143803</v>
      </c>
      <c r="M77" s="10">
        <v>95206.93</v>
      </c>
      <c r="N77" s="10">
        <v>21207.02</v>
      </c>
      <c r="O77" s="1" t="s">
        <v>12</v>
      </c>
      <c r="P77" s="10">
        <v>116413.95</v>
      </c>
      <c r="Q77" s="3">
        <v>0.81</v>
      </c>
    </row>
    <row r="78" spans="1:17" x14ac:dyDescent="0.4">
      <c r="A78" s="71"/>
      <c r="B78" s="5" t="s">
        <v>80</v>
      </c>
      <c r="C78" s="1">
        <v>19</v>
      </c>
      <c r="D78" s="1">
        <v>19</v>
      </c>
      <c r="E78" s="2">
        <v>1</v>
      </c>
      <c r="F78" s="1">
        <v>19</v>
      </c>
      <c r="G78" s="2">
        <v>1</v>
      </c>
      <c r="H78" s="16">
        <v>38758</v>
      </c>
      <c r="I78" s="1" t="s">
        <v>12</v>
      </c>
      <c r="J78" s="10">
        <v>25467.33</v>
      </c>
      <c r="K78" s="17">
        <f t="shared" si="3"/>
        <v>0.65708576293926424</v>
      </c>
      <c r="L78" s="16">
        <v>38758</v>
      </c>
      <c r="M78" s="10">
        <v>18571.04</v>
      </c>
      <c r="N78" s="10">
        <v>12885.43</v>
      </c>
      <c r="O78" s="1" t="s">
        <v>12</v>
      </c>
      <c r="P78" s="10">
        <v>31456.47</v>
      </c>
      <c r="Q78" s="3">
        <v>0.81</v>
      </c>
    </row>
    <row r="79" spans="1:17" x14ac:dyDescent="0.4">
      <c r="A79" s="71"/>
      <c r="B79" s="32" t="s">
        <v>8</v>
      </c>
      <c r="C79" s="6">
        <f>SUM(C73:C78)</f>
        <v>143</v>
      </c>
      <c r="D79" s="6">
        <f>SUM(D73:D78)</f>
        <v>134</v>
      </c>
      <c r="E79" s="14">
        <f>D79/C79</f>
        <v>0.93706293706293708</v>
      </c>
      <c r="F79" s="6">
        <f>SUM(F73:F78)</f>
        <v>134</v>
      </c>
      <c r="G79" s="14">
        <f>F79/C79</f>
        <v>0.93706293706293708</v>
      </c>
      <c r="H79" s="12">
        <f>SUM(H73:H78)</f>
        <v>599838</v>
      </c>
      <c r="I79" s="12">
        <f>SUM(I75:I78)</f>
        <v>0</v>
      </c>
      <c r="J79" s="12">
        <f>SUM(J73:J78)</f>
        <v>408727.49000000005</v>
      </c>
      <c r="K79" s="15">
        <f>J79/H79</f>
        <v>0.68139646037763535</v>
      </c>
      <c r="L79" s="12">
        <f>SUM(L73:L78)</f>
        <v>599838</v>
      </c>
      <c r="M79" s="12">
        <f>SUM(M73:M78)</f>
        <v>155632.53</v>
      </c>
      <c r="N79" s="12">
        <f>SUM(N73:N78)</f>
        <v>125716.12</v>
      </c>
      <c r="O79" s="12">
        <f>SUM(O75:O78)</f>
        <v>0</v>
      </c>
      <c r="P79" s="12">
        <f>SUM(P73:P78)</f>
        <v>474896</v>
      </c>
      <c r="Q79" s="24">
        <f>AVERAGE(Q73:Q78)</f>
        <v>0.7583333333333333</v>
      </c>
    </row>
    <row r="80" spans="1:17" x14ac:dyDescent="0.4">
      <c r="A80" s="75"/>
      <c r="B80" s="76"/>
      <c r="C80" s="76"/>
      <c r="D80" s="76"/>
      <c r="E80" s="76"/>
      <c r="F80" s="76"/>
      <c r="G80" s="76"/>
      <c r="H80" s="76"/>
      <c r="I80" s="76"/>
      <c r="J80" s="76"/>
      <c r="K80" s="76"/>
      <c r="L80" s="76"/>
      <c r="M80" s="76"/>
      <c r="N80" s="76"/>
      <c r="O80" s="76"/>
      <c r="P80" s="76"/>
      <c r="Q80" s="77"/>
    </row>
    <row r="81" spans="1:17" x14ac:dyDescent="0.4">
      <c r="A81" s="71" t="s">
        <v>82</v>
      </c>
      <c r="B81" s="5" t="s">
        <v>83</v>
      </c>
      <c r="C81" s="1">
        <v>27</v>
      </c>
      <c r="D81" s="1">
        <v>27</v>
      </c>
      <c r="E81" s="2" t="s">
        <v>12</v>
      </c>
      <c r="F81" s="1">
        <v>27</v>
      </c>
      <c r="G81" s="2">
        <v>1</v>
      </c>
      <c r="H81" s="16">
        <v>141884.26999999999</v>
      </c>
      <c r="I81" s="1" t="s">
        <v>12</v>
      </c>
      <c r="J81" s="10">
        <v>81536.39</v>
      </c>
      <c r="K81" s="17">
        <v>0.33929999999999999</v>
      </c>
      <c r="L81" s="16" t="s">
        <v>12</v>
      </c>
      <c r="M81" s="16" t="s">
        <v>12</v>
      </c>
      <c r="N81" s="16" t="s">
        <v>12</v>
      </c>
      <c r="O81" s="16" t="s">
        <v>12</v>
      </c>
      <c r="P81" s="16" t="s">
        <v>12</v>
      </c>
      <c r="Q81" s="26" t="s">
        <v>12</v>
      </c>
    </row>
    <row r="82" spans="1:17" x14ac:dyDescent="0.4">
      <c r="A82" s="71"/>
      <c r="B82" s="5" t="s">
        <v>84</v>
      </c>
      <c r="C82" s="1">
        <v>1</v>
      </c>
      <c r="D82" s="1">
        <v>1</v>
      </c>
      <c r="E82" s="2" t="s">
        <v>12</v>
      </c>
      <c r="F82" s="1">
        <v>1</v>
      </c>
      <c r="G82" s="2">
        <v>1</v>
      </c>
      <c r="H82" s="16">
        <v>82780.539999999994</v>
      </c>
      <c r="I82" s="1" t="s">
        <v>12</v>
      </c>
      <c r="J82" s="10" t="s">
        <v>12</v>
      </c>
      <c r="K82" s="17" t="s">
        <v>12</v>
      </c>
      <c r="L82" s="16" t="s">
        <v>12</v>
      </c>
      <c r="M82" s="16" t="s">
        <v>12</v>
      </c>
      <c r="N82" s="16" t="s">
        <v>12</v>
      </c>
      <c r="O82" s="16" t="s">
        <v>12</v>
      </c>
      <c r="P82" s="16" t="s">
        <v>12</v>
      </c>
      <c r="Q82" s="26" t="s">
        <v>12</v>
      </c>
    </row>
    <row r="83" spans="1:17" x14ac:dyDescent="0.4">
      <c r="A83" s="71"/>
      <c r="B83" s="5" t="s">
        <v>85</v>
      </c>
      <c r="C83" s="1">
        <v>27</v>
      </c>
      <c r="D83" s="1">
        <v>13</v>
      </c>
      <c r="E83" s="2" t="s">
        <v>12</v>
      </c>
      <c r="F83" s="1">
        <v>13</v>
      </c>
      <c r="G83" s="2">
        <v>0.48</v>
      </c>
      <c r="H83" s="16">
        <v>51478.85</v>
      </c>
      <c r="I83" s="1">
        <v>9.19</v>
      </c>
      <c r="J83" s="10">
        <v>32734.5</v>
      </c>
      <c r="K83" s="17">
        <v>0.53</v>
      </c>
      <c r="L83" s="16" t="s">
        <v>12</v>
      </c>
      <c r="M83" s="16" t="s">
        <v>12</v>
      </c>
      <c r="N83" s="16" t="s">
        <v>12</v>
      </c>
      <c r="O83" s="16" t="s">
        <v>12</v>
      </c>
      <c r="P83" s="16" t="s">
        <v>12</v>
      </c>
      <c r="Q83" s="26" t="s">
        <v>12</v>
      </c>
    </row>
    <row r="84" spans="1:17" x14ac:dyDescent="0.4">
      <c r="A84" s="71"/>
      <c r="B84" s="5" t="s">
        <v>86</v>
      </c>
      <c r="C84" s="1">
        <v>16</v>
      </c>
      <c r="D84" s="1">
        <v>16</v>
      </c>
      <c r="E84" s="2" t="s">
        <v>12</v>
      </c>
      <c r="F84" s="1">
        <v>16</v>
      </c>
      <c r="G84" s="2">
        <v>1</v>
      </c>
      <c r="H84" s="16">
        <v>26152.45</v>
      </c>
      <c r="I84" s="1" t="s">
        <v>12</v>
      </c>
      <c r="J84" s="10">
        <v>22026.95</v>
      </c>
      <c r="K84" s="17">
        <v>0.43480000000000002</v>
      </c>
      <c r="L84" s="16" t="s">
        <v>12</v>
      </c>
      <c r="M84" s="16" t="s">
        <v>12</v>
      </c>
      <c r="N84" s="16" t="s">
        <v>12</v>
      </c>
      <c r="O84" s="16" t="s">
        <v>12</v>
      </c>
      <c r="P84" s="16" t="s">
        <v>12</v>
      </c>
      <c r="Q84" s="26" t="s">
        <v>12</v>
      </c>
    </row>
    <row r="85" spans="1:17" x14ac:dyDescent="0.4">
      <c r="A85" s="71"/>
      <c r="B85" s="5" t="s">
        <v>87</v>
      </c>
      <c r="C85" s="1">
        <v>1</v>
      </c>
      <c r="D85" s="1">
        <v>1</v>
      </c>
      <c r="E85" s="2" t="s">
        <v>12</v>
      </c>
      <c r="F85" s="1">
        <v>1</v>
      </c>
      <c r="G85" s="2">
        <v>1</v>
      </c>
      <c r="H85" s="16">
        <v>4996.92</v>
      </c>
      <c r="I85" s="18" t="s">
        <v>12</v>
      </c>
      <c r="J85" s="10">
        <v>819.08900000000006</v>
      </c>
      <c r="K85" s="17">
        <v>0.4985</v>
      </c>
      <c r="L85" s="16" t="s">
        <v>12</v>
      </c>
      <c r="M85" s="16" t="s">
        <v>12</v>
      </c>
      <c r="N85" s="16" t="s">
        <v>12</v>
      </c>
      <c r="O85" s="16" t="s">
        <v>12</v>
      </c>
      <c r="P85" s="16" t="s">
        <v>12</v>
      </c>
      <c r="Q85" s="26" t="s">
        <v>12</v>
      </c>
    </row>
    <row r="86" spans="1:17" x14ac:dyDescent="0.4">
      <c r="A86" s="71"/>
      <c r="B86" s="32" t="s">
        <v>8</v>
      </c>
      <c r="C86" s="6">
        <f>SUM(C81:C85)</f>
        <v>72</v>
      </c>
      <c r="D86" s="6">
        <f>SUM(D81:D85)</f>
        <v>58</v>
      </c>
      <c r="E86" s="14" t="s">
        <v>12</v>
      </c>
      <c r="F86" s="6">
        <f>SUM(F81:F85)</f>
        <v>58</v>
      </c>
      <c r="G86" s="14">
        <f>F86/C86</f>
        <v>0.80555555555555558</v>
      </c>
      <c r="H86" s="12">
        <f>SUM(H81:H85)</f>
        <v>307293.02999999997</v>
      </c>
      <c r="I86" s="12">
        <f>SUM(I83:I85)</f>
        <v>9.19</v>
      </c>
      <c r="J86" s="12">
        <f>SUM(J81:J85)</f>
        <v>137116.929</v>
      </c>
      <c r="K86" s="15">
        <f>J86/H86</f>
        <v>0.44620904353086049</v>
      </c>
      <c r="L86" s="12">
        <f>SUM(L81:L85)</f>
        <v>0</v>
      </c>
      <c r="M86" s="12">
        <f>SUM(M81:M85)</f>
        <v>0</v>
      </c>
      <c r="N86" s="12">
        <f>SUM(N81:N85)</f>
        <v>0</v>
      </c>
      <c r="O86" s="12">
        <f>SUM(O83:O85)</f>
        <v>0</v>
      </c>
      <c r="P86" s="12">
        <f>SUM(P81:P85)</f>
        <v>0</v>
      </c>
      <c r="Q86" s="24">
        <v>0</v>
      </c>
    </row>
    <row r="87" spans="1:17" x14ac:dyDescent="0.4">
      <c r="A87" s="75"/>
      <c r="B87" s="76"/>
      <c r="C87" s="76"/>
      <c r="D87" s="76"/>
      <c r="E87" s="76"/>
      <c r="F87" s="76"/>
      <c r="G87" s="76"/>
      <c r="H87" s="76"/>
      <c r="I87" s="76"/>
      <c r="J87" s="76"/>
      <c r="K87" s="76"/>
      <c r="L87" s="76"/>
      <c r="M87" s="76"/>
      <c r="N87" s="76"/>
      <c r="O87" s="76"/>
      <c r="P87" s="76"/>
      <c r="Q87" s="77"/>
    </row>
    <row r="88" spans="1:17" x14ac:dyDescent="0.4">
      <c r="A88" s="71" t="s">
        <v>88</v>
      </c>
      <c r="B88" s="5" t="s">
        <v>89</v>
      </c>
      <c r="C88" s="1">
        <v>22</v>
      </c>
      <c r="D88" s="1">
        <v>18</v>
      </c>
      <c r="E88" s="2">
        <v>0.81</v>
      </c>
      <c r="F88" s="1">
        <v>18</v>
      </c>
      <c r="G88" s="2">
        <v>0.81</v>
      </c>
      <c r="H88" s="16">
        <v>466887.18</v>
      </c>
      <c r="I88" s="1" t="s">
        <v>12</v>
      </c>
      <c r="J88" s="10">
        <v>4411.8</v>
      </c>
      <c r="K88" s="17">
        <v>9.4000000000000004E-3</v>
      </c>
      <c r="L88" s="16">
        <v>466887.18</v>
      </c>
      <c r="M88" s="1">
        <v>24327.360000000001</v>
      </c>
      <c r="N88" s="16">
        <v>780.07</v>
      </c>
      <c r="O88" s="1" t="s">
        <v>12</v>
      </c>
      <c r="P88" s="16">
        <v>25107.43</v>
      </c>
      <c r="Q88" s="3">
        <v>5.3800000000000001E-2</v>
      </c>
    </row>
    <row r="89" spans="1:17" x14ac:dyDescent="0.4">
      <c r="A89" s="71"/>
      <c r="B89" s="5" t="s">
        <v>90</v>
      </c>
      <c r="C89" s="1">
        <v>5</v>
      </c>
      <c r="D89" s="1">
        <v>5</v>
      </c>
      <c r="E89" s="2">
        <v>1</v>
      </c>
      <c r="F89" s="1">
        <v>5</v>
      </c>
      <c r="G89" s="2">
        <v>1</v>
      </c>
      <c r="H89" s="16">
        <v>18225.189999999999</v>
      </c>
      <c r="I89" s="1" t="s">
        <v>12</v>
      </c>
      <c r="J89" s="10">
        <v>817.26</v>
      </c>
      <c r="K89" s="17">
        <v>4.48E-2</v>
      </c>
      <c r="L89" s="16">
        <v>18225.189999999999</v>
      </c>
      <c r="M89" s="10">
        <v>4096.8</v>
      </c>
      <c r="N89" s="10" t="s">
        <v>12</v>
      </c>
      <c r="O89" s="1" t="s">
        <v>12</v>
      </c>
      <c r="P89" s="10">
        <v>4096.8</v>
      </c>
      <c r="Q89" s="3">
        <v>0.2248</v>
      </c>
    </row>
    <row r="90" spans="1:17" x14ac:dyDescent="0.4">
      <c r="A90" s="71"/>
      <c r="B90" s="5" t="s">
        <v>91</v>
      </c>
      <c r="C90" s="1">
        <v>23</v>
      </c>
      <c r="D90" s="1">
        <v>16</v>
      </c>
      <c r="E90" s="2">
        <v>0.69</v>
      </c>
      <c r="F90" s="1">
        <v>16</v>
      </c>
      <c r="G90" s="2">
        <v>0.69</v>
      </c>
      <c r="H90" s="16">
        <v>341371.02</v>
      </c>
      <c r="I90" s="1">
        <v>150.84</v>
      </c>
      <c r="J90" s="10">
        <v>3770.48</v>
      </c>
      <c r="K90" s="17">
        <v>1.15E-2</v>
      </c>
      <c r="L90" s="16">
        <v>341371.02</v>
      </c>
      <c r="M90" s="1">
        <v>2736</v>
      </c>
      <c r="N90" s="10">
        <v>1690.3</v>
      </c>
      <c r="O90" s="1" t="s">
        <v>12</v>
      </c>
      <c r="P90" s="10">
        <v>4426.3</v>
      </c>
      <c r="Q90" s="3">
        <v>1.2999999999999999E-2</v>
      </c>
    </row>
    <row r="91" spans="1:17" x14ac:dyDescent="0.4">
      <c r="A91" s="71"/>
      <c r="B91" s="5" t="s">
        <v>92</v>
      </c>
      <c r="C91" s="1">
        <v>17</v>
      </c>
      <c r="D91" s="1">
        <v>14</v>
      </c>
      <c r="E91" s="2">
        <v>0.82</v>
      </c>
      <c r="F91" s="1">
        <v>14</v>
      </c>
      <c r="G91" s="2">
        <v>0.82</v>
      </c>
      <c r="H91" s="16">
        <v>154329.17000000001</v>
      </c>
      <c r="I91" s="1" t="s">
        <v>12</v>
      </c>
      <c r="J91" s="10">
        <v>4864.3999999999996</v>
      </c>
      <c r="K91" s="17">
        <v>3.15E-2</v>
      </c>
      <c r="L91" s="16">
        <v>154329.17000000001</v>
      </c>
      <c r="M91" s="10">
        <v>11041.59</v>
      </c>
      <c r="N91" s="10">
        <v>4510.68</v>
      </c>
      <c r="O91" s="1" t="s">
        <v>12</v>
      </c>
      <c r="P91" s="10">
        <v>15552.27</v>
      </c>
      <c r="Q91" s="3">
        <v>0.1008</v>
      </c>
    </row>
    <row r="92" spans="1:17" x14ac:dyDescent="0.4">
      <c r="A92" s="71"/>
      <c r="B92" s="5" t="s">
        <v>93</v>
      </c>
      <c r="C92" s="1">
        <v>26</v>
      </c>
      <c r="D92" s="1">
        <v>17</v>
      </c>
      <c r="E92" s="2">
        <v>0.65</v>
      </c>
      <c r="F92" s="1">
        <v>17</v>
      </c>
      <c r="G92" s="2">
        <v>0.65</v>
      </c>
      <c r="H92" s="16">
        <v>547979.19999999995</v>
      </c>
      <c r="I92" s="18">
        <v>360</v>
      </c>
      <c r="J92" s="10">
        <v>3519.31</v>
      </c>
      <c r="K92" s="17">
        <v>7.1000000000000004E-3</v>
      </c>
      <c r="L92" s="16">
        <v>547979.19999999995</v>
      </c>
      <c r="M92" s="10">
        <v>150895</v>
      </c>
      <c r="N92" s="10">
        <v>2893.63</v>
      </c>
      <c r="O92" s="1" t="s">
        <v>12</v>
      </c>
      <c r="P92" s="10">
        <v>153788.63</v>
      </c>
      <c r="Q92" s="3">
        <v>0.28060000000000002</v>
      </c>
    </row>
    <row r="93" spans="1:17" x14ac:dyDescent="0.4">
      <c r="A93" s="71"/>
      <c r="B93" s="32" t="s">
        <v>8</v>
      </c>
      <c r="C93" s="6">
        <f>SUM(C88:C92)</f>
        <v>93</v>
      </c>
      <c r="D93" s="6">
        <f>SUM(D88:D92)</f>
        <v>70</v>
      </c>
      <c r="E93" s="14">
        <f>D93/C93</f>
        <v>0.75268817204301075</v>
      </c>
      <c r="F93" s="6">
        <f>SUM(F88:F92)</f>
        <v>70</v>
      </c>
      <c r="G93" s="14">
        <f>F93/C93</f>
        <v>0.75268817204301075</v>
      </c>
      <c r="H93" s="12">
        <f>SUM(H88:H92)</f>
        <v>1528791.76</v>
      </c>
      <c r="I93" s="12">
        <f>SUM(I88:I92)</f>
        <v>510.84000000000003</v>
      </c>
      <c r="J93" s="12">
        <f>SUM(J88:J92)</f>
        <v>17383.25</v>
      </c>
      <c r="K93" s="15">
        <f>J93/H93</f>
        <v>1.1370580647294959E-2</v>
      </c>
      <c r="L93" s="12">
        <f>SUM(L88:L92)</f>
        <v>1528791.76</v>
      </c>
      <c r="M93" s="12">
        <f>SUM(M88:M92)</f>
        <v>193096.75</v>
      </c>
      <c r="N93" s="12">
        <f>SUM(N88:N92)</f>
        <v>9874.68</v>
      </c>
      <c r="O93" s="12">
        <f>SUM(O90:O92)</f>
        <v>0</v>
      </c>
      <c r="P93" s="12">
        <f>SUM(P88:P92)</f>
        <v>202971.43</v>
      </c>
      <c r="Q93" s="24">
        <f>AVERAGE(Q88:Q92)</f>
        <v>0.1346</v>
      </c>
    </row>
    <row r="94" spans="1:17" x14ac:dyDescent="0.4">
      <c r="A94" s="75"/>
      <c r="B94" s="76"/>
      <c r="C94" s="76"/>
      <c r="D94" s="76"/>
      <c r="E94" s="76"/>
      <c r="F94" s="76"/>
      <c r="G94" s="76"/>
      <c r="H94" s="76"/>
      <c r="I94" s="76"/>
      <c r="J94" s="76"/>
      <c r="K94" s="76"/>
      <c r="L94" s="76"/>
      <c r="M94" s="76"/>
      <c r="N94" s="76"/>
      <c r="O94" s="76"/>
      <c r="P94" s="76"/>
      <c r="Q94" s="77"/>
    </row>
    <row r="95" spans="1:17" x14ac:dyDescent="0.4">
      <c r="A95" s="71" t="s">
        <v>94</v>
      </c>
      <c r="B95" s="5" t="s">
        <v>95</v>
      </c>
      <c r="C95" s="1">
        <v>11</v>
      </c>
      <c r="D95" s="1">
        <v>6</v>
      </c>
      <c r="E95" s="2">
        <v>0.88639999999999997</v>
      </c>
      <c r="F95" s="1">
        <v>5</v>
      </c>
      <c r="G95" s="2">
        <v>0.86360000000000003</v>
      </c>
      <c r="H95" s="16">
        <v>82477.88</v>
      </c>
      <c r="I95" s="1" t="s">
        <v>12</v>
      </c>
      <c r="J95" s="10">
        <v>16867.439999999999</v>
      </c>
      <c r="K95" s="17">
        <v>0.2</v>
      </c>
      <c r="L95" s="16">
        <v>82477.88</v>
      </c>
      <c r="M95" s="1">
        <v>9267.35</v>
      </c>
      <c r="N95" s="16">
        <v>3358</v>
      </c>
      <c r="O95" s="1" t="s">
        <v>12</v>
      </c>
      <c r="P95" s="16">
        <v>12625.35</v>
      </c>
      <c r="Q95" s="3">
        <v>0.86360000000000003</v>
      </c>
    </row>
    <row r="96" spans="1:17" x14ac:dyDescent="0.4">
      <c r="A96" s="71"/>
      <c r="B96" s="5" t="s">
        <v>96</v>
      </c>
      <c r="C96" s="1">
        <v>11</v>
      </c>
      <c r="D96" s="1">
        <v>5</v>
      </c>
      <c r="E96" s="2">
        <v>0.86360000000000003</v>
      </c>
      <c r="F96" s="1">
        <v>6</v>
      </c>
      <c r="G96" s="2">
        <v>0.88639999999999997</v>
      </c>
      <c r="H96" s="16">
        <v>221485.46</v>
      </c>
      <c r="I96" s="1">
        <v>51.78</v>
      </c>
      <c r="J96" s="10">
        <v>79223.3</v>
      </c>
      <c r="K96" s="17">
        <v>0.33</v>
      </c>
      <c r="L96" s="16">
        <v>221485.46</v>
      </c>
      <c r="M96" s="10">
        <v>55793.9</v>
      </c>
      <c r="N96" s="10">
        <v>11840.6</v>
      </c>
      <c r="O96" s="1" t="s">
        <v>12</v>
      </c>
      <c r="P96" s="10">
        <v>67634.5</v>
      </c>
      <c r="Q96" s="3">
        <v>0.88639999999999997</v>
      </c>
    </row>
    <row r="97" spans="1:17" ht="32" x14ac:dyDescent="0.4">
      <c r="A97" s="71"/>
      <c r="B97" s="19" t="s">
        <v>99</v>
      </c>
      <c r="C97" s="1">
        <v>11</v>
      </c>
      <c r="D97" s="1">
        <v>9</v>
      </c>
      <c r="E97" s="2">
        <v>0.95450000000000002</v>
      </c>
      <c r="F97" s="1">
        <v>8</v>
      </c>
      <c r="G97" s="2">
        <v>0.93179999999999996</v>
      </c>
      <c r="H97" s="16">
        <v>467572.15</v>
      </c>
      <c r="I97" s="1" t="s">
        <v>12</v>
      </c>
      <c r="J97" s="10">
        <v>256663.9</v>
      </c>
      <c r="K97" s="17">
        <v>0.54</v>
      </c>
      <c r="L97" s="16">
        <v>467572.15</v>
      </c>
      <c r="M97" s="1">
        <v>313987.59999999998</v>
      </c>
      <c r="N97" s="10">
        <v>24249.14</v>
      </c>
      <c r="O97" s="1" t="s">
        <v>12</v>
      </c>
      <c r="P97" s="10">
        <v>338236.74</v>
      </c>
      <c r="Q97" s="3">
        <v>0.93179999999999996</v>
      </c>
    </row>
    <row r="98" spans="1:17" x14ac:dyDescent="0.4">
      <c r="A98" s="71"/>
      <c r="B98" s="5" t="s">
        <v>97</v>
      </c>
      <c r="C98" s="1">
        <v>11</v>
      </c>
      <c r="D98" s="1">
        <v>9</v>
      </c>
      <c r="E98" s="2">
        <v>0.97729999999999995</v>
      </c>
      <c r="F98" s="1">
        <v>8</v>
      </c>
      <c r="G98" s="2">
        <v>0.93179999999999996</v>
      </c>
      <c r="H98" s="16">
        <v>39922.33</v>
      </c>
      <c r="I98" s="1" t="s">
        <v>12</v>
      </c>
      <c r="J98" s="10">
        <v>16562.41</v>
      </c>
      <c r="K98" s="17">
        <v>0.42</v>
      </c>
      <c r="L98" s="16">
        <v>39922.33</v>
      </c>
      <c r="M98" s="10">
        <v>0</v>
      </c>
      <c r="N98" s="10">
        <v>2515.21</v>
      </c>
      <c r="O98" s="1" t="s">
        <v>12</v>
      </c>
      <c r="P98" s="10">
        <v>2515.21</v>
      </c>
      <c r="Q98" s="3">
        <v>0.93179999999999996</v>
      </c>
    </row>
    <row r="99" spans="1:17" x14ac:dyDescent="0.4">
      <c r="A99" s="71"/>
      <c r="B99" s="5" t="s">
        <v>98</v>
      </c>
      <c r="C99" s="1">
        <v>5</v>
      </c>
      <c r="D99" s="1">
        <v>5</v>
      </c>
      <c r="E99" s="2">
        <v>1</v>
      </c>
      <c r="F99" s="1">
        <v>1</v>
      </c>
      <c r="G99" s="2">
        <v>0.8</v>
      </c>
      <c r="H99" s="16">
        <v>51166.09</v>
      </c>
      <c r="I99" s="18" t="s">
        <v>12</v>
      </c>
      <c r="J99" s="10">
        <v>5894.07</v>
      </c>
      <c r="K99" s="17">
        <v>0.11</v>
      </c>
      <c r="L99" s="16">
        <v>51166.09</v>
      </c>
      <c r="M99" s="10">
        <v>7234.4</v>
      </c>
      <c r="N99" s="10">
        <v>3651.46</v>
      </c>
      <c r="O99" s="1" t="s">
        <v>12</v>
      </c>
      <c r="P99" s="10">
        <v>10885.76</v>
      </c>
      <c r="Q99" s="3">
        <v>0.8</v>
      </c>
    </row>
    <row r="100" spans="1:17" x14ac:dyDescent="0.4">
      <c r="A100" s="71"/>
      <c r="B100" s="32" t="s">
        <v>8</v>
      </c>
      <c r="C100" s="6">
        <f>SUM(C95:C99)</f>
        <v>49</v>
      </c>
      <c r="D100" s="6">
        <f>SUM(D95:D99)</f>
        <v>34</v>
      </c>
      <c r="E100" s="14">
        <f>AVERAGE(E95:E99)</f>
        <v>0.93635999999999997</v>
      </c>
      <c r="F100" s="6">
        <f>SUM(F95:F99)</f>
        <v>28</v>
      </c>
      <c r="G100" s="14">
        <f>AVERAGE(G95:G99)</f>
        <v>0.88271999999999995</v>
      </c>
      <c r="H100" s="12">
        <f>SUM(H95:H99)</f>
        <v>862623.90999999992</v>
      </c>
      <c r="I100" s="12">
        <f>SUM(I95:I99)</f>
        <v>51.78</v>
      </c>
      <c r="J100" s="12">
        <f>SUM(J95:J99)</f>
        <v>375211.12</v>
      </c>
      <c r="K100" s="15">
        <f>J100/H100</f>
        <v>0.43496489681117234</v>
      </c>
      <c r="L100" s="12">
        <f>SUM(L95:L99)</f>
        <v>862623.90999999992</v>
      </c>
      <c r="M100" s="12">
        <f>SUM(M95:M99)</f>
        <v>386283.25</v>
      </c>
      <c r="N100" s="12">
        <f>SUM(N95:N99)</f>
        <v>45614.409999999996</v>
      </c>
      <c r="O100" s="12">
        <f>SUM(O97:O99)</f>
        <v>0</v>
      </c>
      <c r="P100" s="12">
        <f>SUM(P95:P99)</f>
        <v>431897.56</v>
      </c>
      <c r="Q100" s="24">
        <f>AVERAGE(Q95:Q99)</f>
        <v>0.88271999999999995</v>
      </c>
    </row>
    <row r="101" spans="1:17" x14ac:dyDescent="0.4">
      <c r="A101" s="75"/>
      <c r="B101" s="76"/>
      <c r="C101" s="76"/>
      <c r="D101" s="76"/>
      <c r="E101" s="76"/>
      <c r="F101" s="76"/>
      <c r="G101" s="76"/>
      <c r="H101" s="76"/>
      <c r="I101" s="76"/>
      <c r="J101" s="76"/>
      <c r="K101" s="76"/>
      <c r="L101" s="76"/>
      <c r="M101" s="76"/>
      <c r="N101" s="76"/>
      <c r="O101" s="76"/>
      <c r="P101" s="76"/>
      <c r="Q101" s="77"/>
    </row>
    <row r="102" spans="1:17" x14ac:dyDescent="0.4">
      <c r="A102" s="71" t="s">
        <v>100</v>
      </c>
      <c r="B102" s="5" t="s">
        <v>101</v>
      </c>
      <c r="C102" s="1">
        <v>18</v>
      </c>
      <c r="D102" s="1">
        <v>18</v>
      </c>
      <c r="E102" s="2">
        <v>1</v>
      </c>
      <c r="F102" s="1">
        <v>18</v>
      </c>
      <c r="G102" s="2">
        <v>1</v>
      </c>
      <c r="H102" s="16">
        <v>64800</v>
      </c>
      <c r="I102" s="1">
        <v>5832</v>
      </c>
      <c r="J102" s="10">
        <v>9720</v>
      </c>
      <c r="K102" s="72">
        <v>0.24</v>
      </c>
      <c r="L102" s="16">
        <v>64800</v>
      </c>
      <c r="M102" s="16">
        <v>50400</v>
      </c>
      <c r="N102" s="16">
        <v>14400</v>
      </c>
      <c r="O102" s="1" t="s">
        <v>12</v>
      </c>
      <c r="P102" s="16">
        <v>49248</v>
      </c>
      <c r="Q102" s="73">
        <v>0.76</v>
      </c>
    </row>
    <row r="103" spans="1:17" x14ac:dyDescent="0.4">
      <c r="A103" s="71"/>
      <c r="B103" s="5" t="s">
        <v>102</v>
      </c>
      <c r="C103" s="1">
        <v>12</v>
      </c>
      <c r="D103" s="1">
        <v>12</v>
      </c>
      <c r="E103" s="2">
        <v>1</v>
      </c>
      <c r="F103" s="1">
        <v>12</v>
      </c>
      <c r="G103" s="2">
        <v>1</v>
      </c>
      <c r="H103" s="16">
        <v>43200</v>
      </c>
      <c r="I103" s="1">
        <v>3888</v>
      </c>
      <c r="J103" s="10">
        <v>583.20000000000005</v>
      </c>
      <c r="K103" s="72"/>
      <c r="L103" s="16">
        <v>43200</v>
      </c>
      <c r="M103" s="10">
        <v>28800</v>
      </c>
      <c r="N103" s="10">
        <v>14400</v>
      </c>
      <c r="O103" s="1" t="s">
        <v>12</v>
      </c>
      <c r="P103" s="10">
        <v>32832</v>
      </c>
      <c r="Q103" s="73"/>
    </row>
    <row r="104" spans="1:17" x14ac:dyDescent="0.4">
      <c r="A104" s="71"/>
      <c r="B104" s="5" t="s">
        <v>103</v>
      </c>
      <c r="C104" s="1">
        <v>7</v>
      </c>
      <c r="D104" s="1">
        <v>7</v>
      </c>
      <c r="E104" s="2">
        <v>1</v>
      </c>
      <c r="F104" s="1">
        <v>7</v>
      </c>
      <c r="G104" s="2">
        <v>1</v>
      </c>
      <c r="H104" s="16">
        <v>25200</v>
      </c>
      <c r="I104" s="1">
        <v>2268</v>
      </c>
      <c r="J104" s="10">
        <v>3780</v>
      </c>
      <c r="K104" s="72"/>
      <c r="L104" s="16">
        <v>25200</v>
      </c>
      <c r="M104" s="16">
        <v>21600</v>
      </c>
      <c r="N104" s="10">
        <v>3600</v>
      </c>
      <c r="O104" s="1" t="s">
        <v>12</v>
      </c>
      <c r="P104" s="10">
        <v>19152</v>
      </c>
      <c r="Q104" s="73"/>
    </row>
    <row r="105" spans="1:17" x14ac:dyDescent="0.4">
      <c r="A105" s="71"/>
      <c r="B105" s="5" t="s">
        <v>104</v>
      </c>
      <c r="C105" s="1">
        <v>12</v>
      </c>
      <c r="D105" s="1">
        <v>12</v>
      </c>
      <c r="E105" s="2">
        <v>1</v>
      </c>
      <c r="F105" s="1">
        <v>12</v>
      </c>
      <c r="G105" s="2">
        <v>1</v>
      </c>
      <c r="H105" s="16">
        <v>72000</v>
      </c>
      <c r="I105" s="18">
        <v>6480</v>
      </c>
      <c r="J105" s="10">
        <v>10800</v>
      </c>
      <c r="K105" s="72"/>
      <c r="L105" s="16">
        <v>72000</v>
      </c>
      <c r="M105" s="10">
        <v>72000</v>
      </c>
      <c r="N105" s="10">
        <v>0</v>
      </c>
      <c r="O105" s="1" t="s">
        <v>12</v>
      </c>
      <c r="P105" s="10">
        <v>54720</v>
      </c>
      <c r="Q105" s="73"/>
    </row>
    <row r="106" spans="1:17" x14ac:dyDescent="0.4">
      <c r="A106" s="71"/>
      <c r="B106" s="32" t="s">
        <v>8</v>
      </c>
      <c r="C106" s="6">
        <f>SUM(C102:C105)</f>
        <v>49</v>
      </c>
      <c r="D106" s="6">
        <f>SUM(D102:D105)</f>
        <v>49</v>
      </c>
      <c r="E106" s="14">
        <f>D106/C106</f>
        <v>1</v>
      </c>
      <c r="F106" s="6">
        <f>SUM(F102:F105)</f>
        <v>49</v>
      </c>
      <c r="G106" s="14">
        <f>F106/C106</f>
        <v>1</v>
      </c>
      <c r="H106" s="12">
        <f>SUM(H102:H105)</f>
        <v>205200</v>
      </c>
      <c r="I106" s="12">
        <f>SUM(I102:I105)</f>
        <v>18468</v>
      </c>
      <c r="J106" s="12">
        <f>SUM(J102:J105)</f>
        <v>24883.200000000001</v>
      </c>
      <c r="K106" s="72"/>
      <c r="L106" s="12">
        <f>SUM(L102:L105)</f>
        <v>205200</v>
      </c>
      <c r="M106" s="12">
        <f>SUM(M102:M105)</f>
        <v>172800</v>
      </c>
      <c r="N106" s="12">
        <f>SUM(N102:N105)</f>
        <v>32400</v>
      </c>
      <c r="O106" s="12">
        <f>SUM(O104:O105)</f>
        <v>0</v>
      </c>
      <c r="P106" s="12">
        <f>SUM(P102:P105)</f>
        <v>155952</v>
      </c>
      <c r="Q106" s="73"/>
    </row>
    <row r="107" spans="1:17" x14ac:dyDescent="0.4">
      <c r="A107" s="75"/>
      <c r="B107" s="76"/>
      <c r="C107" s="76"/>
      <c r="D107" s="76"/>
      <c r="E107" s="76"/>
      <c r="F107" s="76"/>
      <c r="G107" s="76"/>
      <c r="H107" s="76"/>
      <c r="I107" s="76"/>
      <c r="J107" s="76"/>
      <c r="K107" s="76"/>
      <c r="L107" s="76"/>
      <c r="M107" s="76"/>
      <c r="N107" s="76"/>
      <c r="O107" s="76"/>
      <c r="P107" s="76"/>
      <c r="Q107" s="77"/>
    </row>
    <row r="108" spans="1:17" ht="32" x14ac:dyDescent="0.4">
      <c r="A108" s="71" t="s">
        <v>105</v>
      </c>
      <c r="B108" s="19" t="s">
        <v>106</v>
      </c>
      <c r="C108" s="1">
        <v>12</v>
      </c>
      <c r="D108" s="1">
        <v>10</v>
      </c>
      <c r="E108" s="2">
        <v>0.83</v>
      </c>
      <c r="F108" s="1">
        <v>11</v>
      </c>
      <c r="G108" s="2">
        <v>0.92</v>
      </c>
      <c r="H108" s="16">
        <v>154974</v>
      </c>
      <c r="I108" s="1">
        <v>25</v>
      </c>
      <c r="J108" s="10">
        <v>116497</v>
      </c>
      <c r="K108" s="17">
        <v>0.75</v>
      </c>
      <c r="L108" s="16">
        <v>154974</v>
      </c>
      <c r="M108" s="16">
        <v>16860</v>
      </c>
      <c r="N108" s="16">
        <v>4754</v>
      </c>
      <c r="O108" s="1" t="s">
        <v>12</v>
      </c>
      <c r="P108" s="16">
        <v>21614</v>
      </c>
      <c r="Q108" s="3">
        <v>0.13</v>
      </c>
    </row>
    <row r="109" spans="1:17" x14ac:dyDescent="0.4">
      <c r="A109" s="71"/>
      <c r="B109" s="5" t="s">
        <v>107</v>
      </c>
      <c r="C109" s="1">
        <v>14</v>
      </c>
      <c r="D109" s="1">
        <v>12</v>
      </c>
      <c r="E109" s="2">
        <v>0.86</v>
      </c>
      <c r="F109" s="1">
        <v>12</v>
      </c>
      <c r="G109" s="2">
        <v>0.86</v>
      </c>
      <c r="H109" s="16">
        <v>85936</v>
      </c>
      <c r="I109" s="1">
        <v>0</v>
      </c>
      <c r="J109" s="10">
        <v>70251</v>
      </c>
      <c r="K109" s="17">
        <v>0.82</v>
      </c>
      <c r="L109" s="16">
        <v>85936</v>
      </c>
      <c r="M109" s="10">
        <v>10000</v>
      </c>
      <c r="N109" s="10">
        <v>8030</v>
      </c>
      <c r="O109" s="1" t="s">
        <v>12</v>
      </c>
      <c r="P109" s="10">
        <v>18030</v>
      </c>
      <c r="Q109" s="3">
        <v>0.18</v>
      </c>
    </row>
    <row r="110" spans="1:17" x14ac:dyDescent="0.4">
      <c r="A110" s="71"/>
      <c r="B110" s="5" t="s">
        <v>108</v>
      </c>
      <c r="C110" s="1">
        <v>21</v>
      </c>
      <c r="D110" s="1">
        <v>11</v>
      </c>
      <c r="E110" s="2">
        <v>0.52</v>
      </c>
      <c r="F110" s="1">
        <v>9</v>
      </c>
      <c r="G110" s="2">
        <v>0.43</v>
      </c>
      <c r="H110" s="16">
        <v>62206</v>
      </c>
      <c r="I110" s="1">
        <v>0</v>
      </c>
      <c r="J110" s="10">
        <v>54219</v>
      </c>
      <c r="K110" s="17">
        <v>0.87</v>
      </c>
      <c r="L110" s="16">
        <v>62206</v>
      </c>
      <c r="M110" s="16">
        <v>1920</v>
      </c>
      <c r="N110" s="10">
        <v>6587</v>
      </c>
      <c r="O110" s="1" t="s">
        <v>12</v>
      </c>
      <c r="P110" s="10">
        <v>8507</v>
      </c>
      <c r="Q110" s="3">
        <v>0.16</v>
      </c>
    </row>
    <row r="111" spans="1:17" x14ac:dyDescent="0.4">
      <c r="A111" s="71"/>
      <c r="B111" s="5" t="s">
        <v>109</v>
      </c>
      <c r="C111" s="1">
        <v>19</v>
      </c>
      <c r="D111" s="1">
        <v>16</v>
      </c>
      <c r="E111" s="2">
        <v>0.84</v>
      </c>
      <c r="F111" s="1">
        <v>16</v>
      </c>
      <c r="G111" s="2">
        <v>0.84</v>
      </c>
      <c r="H111" s="16">
        <v>82765</v>
      </c>
      <c r="I111" s="1">
        <v>0</v>
      </c>
      <c r="J111" s="10">
        <v>70245</v>
      </c>
      <c r="K111" s="17">
        <v>0.85</v>
      </c>
      <c r="L111" s="16">
        <v>82765</v>
      </c>
      <c r="M111" s="10">
        <v>2109</v>
      </c>
      <c r="N111" s="10">
        <v>10800</v>
      </c>
      <c r="O111" s="1" t="s">
        <v>12</v>
      </c>
      <c r="P111" s="10">
        <v>12909</v>
      </c>
      <c r="Q111" s="3">
        <v>0.15</v>
      </c>
    </row>
    <row r="112" spans="1:17" x14ac:dyDescent="0.4">
      <c r="A112" s="71"/>
      <c r="B112" s="5" t="s">
        <v>110</v>
      </c>
      <c r="C112" s="1">
        <v>7</v>
      </c>
      <c r="D112" s="1">
        <v>5</v>
      </c>
      <c r="E112" s="2">
        <v>0.71</v>
      </c>
      <c r="F112" s="1">
        <v>5</v>
      </c>
      <c r="G112" s="2">
        <v>0.71</v>
      </c>
      <c r="H112" s="16">
        <v>13159</v>
      </c>
      <c r="I112" s="1">
        <v>0</v>
      </c>
      <c r="J112" s="10">
        <v>9474</v>
      </c>
      <c r="K112" s="17">
        <v>0.72</v>
      </c>
      <c r="L112" s="16">
        <v>13159</v>
      </c>
      <c r="M112" s="10">
        <v>735</v>
      </c>
      <c r="N112" s="10">
        <v>1988</v>
      </c>
      <c r="O112" s="1" t="s">
        <v>12</v>
      </c>
      <c r="P112" s="10">
        <v>2723</v>
      </c>
      <c r="Q112" s="3">
        <v>0.17</v>
      </c>
    </row>
    <row r="113" spans="1:17" ht="16.5" thickBot="1" x14ac:dyDescent="0.45">
      <c r="A113" s="74"/>
      <c r="B113" s="32" t="s">
        <v>8</v>
      </c>
      <c r="C113" s="27">
        <f>SUM(C108:C112)</f>
        <v>73</v>
      </c>
      <c r="D113" s="27">
        <f>SUM(D108:D112)</f>
        <v>54</v>
      </c>
      <c r="E113" s="28">
        <f>D113/C113</f>
        <v>0.73972602739726023</v>
      </c>
      <c r="F113" s="27">
        <f>SUM(F108:F112)</f>
        <v>53</v>
      </c>
      <c r="G113" s="28">
        <f>F113/C113</f>
        <v>0.72602739726027399</v>
      </c>
      <c r="H113" s="29">
        <f>SUM(H108:H112)</f>
        <v>399040</v>
      </c>
      <c r="I113" s="29">
        <f>SUM(I108:I112)</f>
        <v>25</v>
      </c>
      <c r="J113" s="29">
        <f>SUM(J108:J112)</f>
        <v>320686</v>
      </c>
      <c r="K113" s="30">
        <f>J113/H113</f>
        <v>0.80364374498797109</v>
      </c>
      <c r="L113" s="29">
        <f>SUM(L108:L112)</f>
        <v>399040</v>
      </c>
      <c r="M113" s="29">
        <f>SUM(M108:M112)</f>
        <v>31624</v>
      </c>
      <c r="N113" s="29">
        <f>SUM(N108:N112)</f>
        <v>32159</v>
      </c>
      <c r="O113" s="29">
        <f>SUM(O110:O112)</f>
        <v>0</v>
      </c>
      <c r="P113" s="29">
        <f>SUM(P108:P112)</f>
        <v>63783</v>
      </c>
      <c r="Q113" s="31">
        <f>AVERAGE(Q108:Q112)</f>
        <v>0.158</v>
      </c>
    </row>
    <row r="114" spans="1:17" x14ac:dyDescent="0.4">
      <c r="A114" s="99"/>
      <c r="B114" s="100"/>
      <c r="C114" s="100"/>
      <c r="D114" s="100"/>
      <c r="E114" s="100"/>
      <c r="F114" s="100"/>
      <c r="G114" s="100"/>
      <c r="H114" s="100"/>
      <c r="I114" s="100"/>
      <c r="J114" s="100"/>
      <c r="K114" s="100"/>
      <c r="L114" s="100"/>
      <c r="M114" s="100"/>
      <c r="N114" s="100"/>
      <c r="O114" s="100"/>
      <c r="P114" s="100"/>
      <c r="Q114" s="101"/>
    </row>
    <row r="115" spans="1:17" ht="16.5" thickBot="1" x14ac:dyDescent="0.45">
      <c r="A115" s="103" t="s">
        <v>396</v>
      </c>
      <c r="B115" s="104"/>
      <c r="C115" s="27">
        <f>SUM(C113,C106,C100,C93,C86,C79,C71,C65,C57,C49,C42,C35,C26,C19,C13,C4)</f>
        <v>1515</v>
      </c>
      <c r="D115" s="27">
        <f>SUM(D113,D106,D100,D93,D86,D79,D71,D65,D57,D49,D42,D35,D26,D19,D13,D4)</f>
        <v>1302</v>
      </c>
      <c r="E115" s="28">
        <f>D115/C115</f>
        <v>0.85940594059405939</v>
      </c>
      <c r="F115" s="27">
        <f>SUM(F113,F106,F100,F93,F86,F79,F71,F65,F57,F49,F42,F35,F26,F19,F13,F4)</f>
        <v>1216</v>
      </c>
      <c r="G115" s="28">
        <f>F115/C115</f>
        <v>0.80264026402640265</v>
      </c>
      <c r="H115" s="98">
        <f>SUM(H113,H106,H100,H93,H86,H79,H71,H65,H57,H49,H42,H35,H26,H19,H13,H4)</f>
        <v>16366794.4001</v>
      </c>
      <c r="I115" s="98">
        <f>SUM(I113,I106,I100,I93,I86,I79,I71,I65,I57,I49,I42,I35,I26,I19,I13,I4)</f>
        <v>156296.94685000001</v>
      </c>
      <c r="J115" s="98">
        <f>SUM(J113,J106,J100,J93,J86,J79,J71,J65,J57,J49,J42,J35,J26,J19,J13,J4)</f>
        <v>6976809.3065999998</v>
      </c>
      <c r="K115" s="30">
        <f>J115/H115</f>
        <v>0.42627830081114554</v>
      </c>
      <c r="L115" s="98">
        <f>SUM(L113,L106,L100,L93,L86,L79,L71,L65,L57,L49,L42,L35,L26,L19,L13,L4)</f>
        <v>16042181.210100001</v>
      </c>
      <c r="M115" s="98">
        <f>SUM(M113,M106,M100,M93,M86,M79,M71,M65,M57,M49,M42,M35,M26,M19,M13,M4)</f>
        <v>8263994.8128999993</v>
      </c>
      <c r="N115" s="98">
        <f>SUM(N113,N106,N100,N93,N86,N79,N71,N65,N57,N49,N42,N35,N26,N19,N13,N4)</f>
        <v>1051662.9971</v>
      </c>
      <c r="O115" s="98">
        <f>SUM(O113,O106,O100,O93,O86,O79,O71,O65,O57,O49,O42,O35,O26,O19,O13,O4)</f>
        <v>160435</v>
      </c>
      <c r="P115" s="98">
        <f>SUM(P113,P106,P100,P93,P86,P79,P71,P65,P57,P49,P42,P35,P26,P19,P13,P4)</f>
        <v>9511845.6204500012</v>
      </c>
      <c r="Q115" s="102">
        <f>AVERAGE(Q113,Q102,Q100,Q93,Q86,Q79,Q67,Q65,Q57,Q49,Q42,Q35,Q26,Q19,Q13,Q4)</f>
        <v>0.57369479591836736</v>
      </c>
    </row>
  </sheetData>
  <mergeCells count="37">
    <mergeCell ref="A115:B115"/>
    <mergeCell ref="A27:Q27"/>
    <mergeCell ref="A36:Q36"/>
    <mergeCell ref="A43:Q43"/>
    <mergeCell ref="A50:Q50"/>
    <mergeCell ref="A58:Q58"/>
    <mergeCell ref="A28:A35"/>
    <mergeCell ref="A21:A26"/>
    <mergeCell ref="A3:A4"/>
    <mergeCell ref="A15:A19"/>
    <mergeCell ref="A1:Q1"/>
    <mergeCell ref="A5:Q5"/>
    <mergeCell ref="A14:Q14"/>
    <mergeCell ref="A20:Q20"/>
    <mergeCell ref="A44:A49"/>
    <mergeCell ref="A51:A57"/>
    <mergeCell ref="A59:A65"/>
    <mergeCell ref="A67:A71"/>
    <mergeCell ref="A80:Q80"/>
    <mergeCell ref="A66:Q66"/>
    <mergeCell ref="A72:Q72"/>
    <mergeCell ref="A6:A13"/>
    <mergeCell ref="A114:Q114"/>
    <mergeCell ref="A81:A86"/>
    <mergeCell ref="A88:A93"/>
    <mergeCell ref="A95:A100"/>
    <mergeCell ref="A102:A106"/>
    <mergeCell ref="K102:K106"/>
    <mergeCell ref="Q102:Q106"/>
    <mergeCell ref="A108:A113"/>
    <mergeCell ref="A94:Q94"/>
    <mergeCell ref="A101:Q101"/>
    <mergeCell ref="A107:Q107"/>
    <mergeCell ref="Q67:Q71"/>
    <mergeCell ref="A73:A79"/>
    <mergeCell ref="A87:Q87"/>
    <mergeCell ref="A37:A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60F83-031E-48C4-AEE9-E3107A5D043B}">
  <dimension ref="A1:Q42"/>
  <sheetViews>
    <sheetView zoomScaleNormal="100" workbookViewId="0">
      <selection activeCell="G11" sqref="G11"/>
    </sheetView>
  </sheetViews>
  <sheetFormatPr defaultRowHeight="14.5" x14ac:dyDescent="0.35"/>
  <cols>
    <col min="2" max="2" width="23.90625" customWidth="1"/>
    <col min="3" max="3" width="21.90625" customWidth="1"/>
    <col min="4" max="4" width="17.453125" customWidth="1"/>
    <col min="5" max="5" width="18.1796875" customWidth="1"/>
    <col min="6" max="6" width="17.36328125" customWidth="1"/>
    <col min="7" max="7" width="18.08984375" customWidth="1"/>
    <col min="8" max="8" width="17.453125" customWidth="1"/>
    <col min="9" max="9" width="19.54296875" customWidth="1"/>
    <col min="10" max="10" width="19.26953125" customWidth="1"/>
    <col min="11" max="11" width="19.453125" customWidth="1"/>
    <col min="12" max="12" width="16.26953125" customWidth="1"/>
    <col min="13" max="13" width="25.54296875" customWidth="1"/>
    <col min="14" max="14" width="23.08984375" customWidth="1"/>
    <col min="15" max="15" width="19.54296875" customWidth="1"/>
    <col min="16" max="16" width="19.6328125" customWidth="1"/>
    <col min="17" max="17" width="14.7265625" customWidth="1"/>
  </cols>
  <sheetData>
    <row r="1" spans="1:17" ht="23.5" x14ac:dyDescent="0.55000000000000004">
      <c r="A1" s="83" t="s">
        <v>130</v>
      </c>
      <c r="B1" s="84"/>
      <c r="C1" s="84"/>
      <c r="D1" s="84"/>
      <c r="E1" s="85"/>
      <c r="F1" s="47"/>
      <c r="G1" s="47"/>
      <c r="H1" s="47"/>
      <c r="I1" s="47"/>
      <c r="J1" s="47"/>
      <c r="K1" s="47"/>
      <c r="L1" s="47"/>
      <c r="M1" s="47"/>
      <c r="N1" s="47"/>
      <c r="O1" s="47"/>
      <c r="P1" s="47"/>
      <c r="Q1" s="47"/>
    </row>
    <row r="2" spans="1:17" ht="32" x14ac:dyDescent="0.35">
      <c r="A2" s="20" t="s">
        <v>9</v>
      </c>
      <c r="B2" s="9" t="s">
        <v>128</v>
      </c>
      <c r="C2" s="9" t="s">
        <v>121</v>
      </c>
      <c r="D2" s="9" t="s">
        <v>122</v>
      </c>
      <c r="E2" s="21" t="s">
        <v>129</v>
      </c>
      <c r="F2" s="33"/>
      <c r="G2" s="33"/>
      <c r="H2" s="33"/>
      <c r="I2" s="33"/>
      <c r="J2" s="33"/>
      <c r="K2" s="33"/>
      <c r="L2" s="33"/>
      <c r="M2" s="33"/>
      <c r="N2" s="33"/>
      <c r="O2" s="33"/>
      <c r="P2" s="33"/>
      <c r="Q2" s="33"/>
    </row>
    <row r="3" spans="1:17" ht="16" x14ac:dyDescent="0.35">
      <c r="A3" s="36" t="s">
        <v>10</v>
      </c>
      <c r="B3" s="1" t="s">
        <v>12</v>
      </c>
      <c r="C3" s="1" t="s">
        <v>12</v>
      </c>
      <c r="D3" s="1" t="s">
        <v>12</v>
      </c>
      <c r="E3" s="3" t="s">
        <v>12</v>
      </c>
      <c r="F3" s="34"/>
      <c r="G3" s="35"/>
      <c r="H3" s="41"/>
      <c r="I3" s="34"/>
      <c r="J3" s="41"/>
      <c r="K3" s="42"/>
      <c r="L3" s="41"/>
      <c r="M3" s="41"/>
      <c r="N3" s="34"/>
      <c r="O3" s="34"/>
      <c r="P3" s="41"/>
      <c r="Q3" s="35"/>
    </row>
    <row r="4" spans="1:17" ht="16" x14ac:dyDescent="0.4">
      <c r="A4" s="37"/>
      <c r="B4" s="38"/>
      <c r="C4" s="38"/>
      <c r="D4" s="38"/>
      <c r="E4" s="39"/>
      <c r="F4" s="4"/>
      <c r="G4" s="4"/>
      <c r="H4" s="4"/>
      <c r="I4" s="4"/>
      <c r="J4" s="4"/>
      <c r="K4" s="4"/>
      <c r="L4" s="4"/>
      <c r="M4" s="4"/>
      <c r="N4" s="4"/>
      <c r="O4" s="4"/>
      <c r="P4" s="4"/>
      <c r="Q4" s="4"/>
    </row>
    <row r="5" spans="1:17" ht="16" x14ac:dyDescent="0.35">
      <c r="A5" s="36" t="s">
        <v>11</v>
      </c>
      <c r="B5" s="1" t="s">
        <v>12</v>
      </c>
      <c r="C5" s="1" t="s">
        <v>12</v>
      </c>
      <c r="D5" s="1" t="s">
        <v>12</v>
      </c>
      <c r="E5" s="3" t="s">
        <v>12</v>
      </c>
      <c r="F5" s="34"/>
      <c r="G5" s="35"/>
      <c r="H5" s="41"/>
      <c r="I5" s="34"/>
      <c r="J5" s="41"/>
      <c r="K5" s="35"/>
      <c r="L5" s="41"/>
      <c r="M5" s="41"/>
      <c r="N5" s="41"/>
      <c r="O5" s="34"/>
      <c r="P5" s="41"/>
      <c r="Q5" s="42"/>
    </row>
    <row r="6" spans="1:17" ht="16" x14ac:dyDescent="0.4">
      <c r="A6" s="37"/>
      <c r="B6" s="38"/>
      <c r="C6" s="38"/>
      <c r="D6" s="38"/>
      <c r="E6" s="39"/>
      <c r="F6" s="4"/>
      <c r="G6" s="4"/>
      <c r="H6" s="4"/>
      <c r="I6" s="4"/>
      <c r="J6" s="4"/>
      <c r="K6" s="4"/>
      <c r="L6" s="4"/>
      <c r="M6" s="4"/>
      <c r="N6" s="4"/>
      <c r="O6" s="4"/>
      <c r="P6" s="4"/>
      <c r="Q6" s="4"/>
    </row>
    <row r="7" spans="1:17" ht="32" x14ac:dyDescent="0.35">
      <c r="A7" s="36" t="s">
        <v>13</v>
      </c>
      <c r="B7" s="52" t="s">
        <v>137</v>
      </c>
      <c r="C7" s="49" t="s">
        <v>138</v>
      </c>
      <c r="D7" s="1" t="s">
        <v>12</v>
      </c>
      <c r="E7" s="23" t="s">
        <v>139</v>
      </c>
      <c r="F7" s="34"/>
      <c r="G7" s="42"/>
      <c r="H7" s="41"/>
      <c r="I7" s="34"/>
      <c r="J7" s="41"/>
      <c r="K7" s="42"/>
      <c r="L7" s="41"/>
      <c r="M7" s="41"/>
      <c r="N7" s="34"/>
      <c r="O7" s="41"/>
      <c r="P7" s="41"/>
      <c r="Q7" s="42"/>
    </row>
    <row r="8" spans="1:17" ht="16" x14ac:dyDescent="0.4">
      <c r="A8" s="37"/>
      <c r="B8" s="38"/>
      <c r="C8" s="51"/>
      <c r="D8" s="38"/>
      <c r="E8" s="39"/>
      <c r="F8" s="4"/>
      <c r="G8" s="4"/>
      <c r="H8" s="4"/>
      <c r="I8" s="4"/>
      <c r="J8" s="4"/>
      <c r="K8" s="4"/>
      <c r="L8" s="4"/>
      <c r="M8" s="4"/>
      <c r="N8" s="4"/>
      <c r="O8" s="4"/>
      <c r="P8" s="4"/>
      <c r="Q8" s="4"/>
    </row>
    <row r="9" spans="1:17" ht="16" x14ac:dyDescent="0.35">
      <c r="A9" s="36" t="s">
        <v>14</v>
      </c>
      <c r="B9" s="1" t="s">
        <v>12</v>
      </c>
      <c r="C9" s="1" t="s">
        <v>12</v>
      </c>
      <c r="D9" s="1" t="s">
        <v>12</v>
      </c>
      <c r="E9" s="3" t="s">
        <v>12</v>
      </c>
      <c r="F9" s="34"/>
      <c r="G9" s="42"/>
      <c r="H9" s="34"/>
      <c r="I9" s="34"/>
      <c r="J9" s="34"/>
      <c r="K9" s="34"/>
      <c r="L9" s="34"/>
      <c r="M9" s="41"/>
      <c r="N9" s="34"/>
      <c r="O9" s="34"/>
      <c r="P9" s="41"/>
      <c r="Q9" s="34"/>
    </row>
    <row r="10" spans="1:17" ht="16" x14ac:dyDescent="0.4">
      <c r="A10" s="37"/>
      <c r="B10" s="38"/>
      <c r="C10" s="38"/>
      <c r="D10" s="38"/>
      <c r="E10" s="39"/>
      <c r="F10" s="4"/>
      <c r="G10" s="4"/>
      <c r="H10" s="4"/>
      <c r="I10" s="4"/>
      <c r="J10" s="4"/>
      <c r="K10" s="4"/>
      <c r="L10" s="4"/>
      <c r="M10" s="4"/>
      <c r="N10" s="4"/>
      <c r="O10" s="4"/>
      <c r="P10" s="4"/>
      <c r="Q10" s="4"/>
    </row>
    <row r="11" spans="1:17" ht="32" x14ac:dyDescent="0.35">
      <c r="A11" s="71" t="s">
        <v>15</v>
      </c>
      <c r="B11" s="49" t="s">
        <v>162</v>
      </c>
      <c r="C11" s="49" t="s">
        <v>165</v>
      </c>
      <c r="D11" s="1" t="s">
        <v>12</v>
      </c>
      <c r="E11" s="25" t="s">
        <v>12</v>
      </c>
      <c r="F11" s="34"/>
      <c r="G11" s="35"/>
      <c r="H11" s="41"/>
      <c r="I11" s="34"/>
      <c r="J11" s="41"/>
      <c r="K11" s="42"/>
      <c r="L11" s="41"/>
      <c r="M11" s="41"/>
      <c r="N11" s="34"/>
      <c r="O11" s="34"/>
      <c r="P11" s="41"/>
      <c r="Q11" s="35"/>
    </row>
    <row r="12" spans="1:17" ht="48" x14ac:dyDescent="0.35">
      <c r="A12" s="71"/>
      <c r="B12" s="49" t="s">
        <v>163</v>
      </c>
      <c r="C12" s="49" t="s">
        <v>166</v>
      </c>
      <c r="D12" s="1" t="s">
        <v>12</v>
      </c>
      <c r="E12" s="25" t="s">
        <v>12</v>
      </c>
      <c r="F12" s="34"/>
      <c r="G12" s="35"/>
      <c r="H12" s="41"/>
      <c r="I12" s="34"/>
      <c r="J12" s="41"/>
      <c r="K12" s="42"/>
      <c r="L12" s="41"/>
      <c r="M12" s="41"/>
      <c r="N12" s="34"/>
      <c r="O12" s="34"/>
      <c r="P12" s="41"/>
      <c r="Q12" s="35"/>
    </row>
    <row r="13" spans="1:17" ht="48" x14ac:dyDescent="0.35">
      <c r="A13" s="71"/>
      <c r="B13" s="49" t="s">
        <v>164</v>
      </c>
      <c r="C13" s="49" t="s">
        <v>167</v>
      </c>
      <c r="D13" s="1" t="s">
        <v>12</v>
      </c>
      <c r="E13" s="25" t="s">
        <v>12</v>
      </c>
      <c r="F13" s="34"/>
      <c r="G13" s="35"/>
      <c r="H13" s="41"/>
      <c r="I13" s="34"/>
      <c r="J13" s="41"/>
      <c r="K13" s="42"/>
      <c r="L13" s="41"/>
      <c r="M13" s="41"/>
      <c r="N13" s="34"/>
      <c r="O13" s="34"/>
      <c r="P13" s="41"/>
      <c r="Q13" s="35"/>
    </row>
    <row r="14" spans="1:17" ht="16" x14ac:dyDescent="0.4">
      <c r="A14" s="37"/>
      <c r="B14" s="38"/>
      <c r="C14" s="38"/>
      <c r="D14" s="38"/>
      <c r="E14" s="39"/>
      <c r="F14" s="4"/>
      <c r="G14" s="4"/>
      <c r="H14" s="4"/>
      <c r="I14" s="4"/>
      <c r="J14" s="4"/>
      <c r="K14" s="4"/>
      <c r="L14" s="4"/>
      <c r="M14" s="4"/>
      <c r="N14" s="4"/>
      <c r="O14" s="4"/>
      <c r="P14" s="4"/>
      <c r="Q14" s="4"/>
    </row>
    <row r="15" spans="1:17" ht="320" x14ac:dyDescent="0.35">
      <c r="A15" s="71" t="s">
        <v>16</v>
      </c>
      <c r="B15" s="49" t="s">
        <v>207</v>
      </c>
      <c r="C15" s="49" t="s">
        <v>210</v>
      </c>
      <c r="D15" s="48" t="s">
        <v>232</v>
      </c>
      <c r="E15" s="26" t="s">
        <v>213</v>
      </c>
      <c r="F15" s="34"/>
      <c r="G15" s="35"/>
      <c r="H15" s="43"/>
      <c r="I15" s="43"/>
      <c r="J15" s="43"/>
      <c r="K15" s="35"/>
      <c r="L15" s="43"/>
      <c r="M15" s="43"/>
      <c r="N15" s="34"/>
      <c r="O15" s="43"/>
      <c r="P15" s="43"/>
      <c r="Q15" s="35"/>
    </row>
    <row r="16" spans="1:17" ht="144" x14ac:dyDescent="0.35">
      <c r="A16" s="71"/>
      <c r="B16" s="49" t="s">
        <v>208</v>
      </c>
      <c r="C16" s="49" t="s">
        <v>211</v>
      </c>
      <c r="D16" s="48" t="s">
        <v>233</v>
      </c>
      <c r="E16" s="26" t="s">
        <v>214</v>
      </c>
      <c r="F16" s="34"/>
      <c r="G16" s="35"/>
      <c r="H16" s="43"/>
      <c r="I16" s="43"/>
      <c r="J16" s="43"/>
      <c r="K16" s="35"/>
      <c r="L16" s="43"/>
      <c r="M16" s="43"/>
      <c r="N16" s="34"/>
      <c r="O16" s="43"/>
      <c r="P16" s="43"/>
      <c r="Q16" s="35"/>
    </row>
    <row r="17" spans="1:17" ht="128" x14ac:dyDescent="0.35">
      <c r="A17" s="71"/>
      <c r="B17" s="49" t="s">
        <v>209</v>
      </c>
      <c r="C17" s="49" t="s">
        <v>212</v>
      </c>
      <c r="D17" s="48" t="s">
        <v>234</v>
      </c>
      <c r="E17" s="26" t="s">
        <v>215</v>
      </c>
      <c r="F17" s="34"/>
      <c r="G17" s="35"/>
      <c r="H17" s="43"/>
      <c r="I17" s="43"/>
      <c r="J17" s="43"/>
      <c r="K17" s="35"/>
      <c r="L17" s="43"/>
      <c r="M17" s="43"/>
      <c r="N17" s="34"/>
      <c r="O17" s="43"/>
      <c r="P17" s="43"/>
      <c r="Q17" s="35"/>
    </row>
    <row r="18" spans="1:17" ht="16" x14ac:dyDescent="0.4">
      <c r="A18" s="37"/>
      <c r="B18" s="38"/>
      <c r="C18" s="38"/>
      <c r="D18" s="38"/>
      <c r="E18" s="39"/>
      <c r="F18" s="4"/>
      <c r="G18" s="4"/>
      <c r="H18" s="4"/>
      <c r="I18" s="4"/>
      <c r="J18" s="4"/>
      <c r="K18" s="4"/>
      <c r="L18" s="4"/>
      <c r="M18" s="4"/>
      <c r="N18" s="4"/>
      <c r="O18" s="4"/>
      <c r="P18" s="4"/>
      <c r="Q18" s="4"/>
    </row>
    <row r="19" spans="1:17" ht="32" x14ac:dyDescent="0.35">
      <c r="A19" s="36" t="s">
        <v>17</v>
      </c>
      <c r="B19" s="49" t="s">
        <v>248</v>
      </c>
      <c r="C19" s="49" t="s">
        <v>249</v>
      </c>
      <c r="D19" s="49" t="s">
        <v>250</v>
      </c>
      <c r="E19" s="57" t="s">
        <v>251</v>
      </c>
      <c r="F19" s="34"/>
      <c r="G19" s="42"/>
      <c r="H19" s="41"/>
      <c r="I19" s="34"/>
      <c r="J19" s="41"/>
      <c r="K19" s="35"/>
      <c r="L19" s="41"/>
      <c r="M19" s="41"/>
      <c r="N19" s="41"/>
      <c r="O19" s="41"/>
      <c r="P19" s="41"/>
      <c r="Q19" s="35"/>
    </row>
    <row r="20" spans="1:17" ht="16" x14ac:dyDescent="0.4">
      <c r="A20" s="37"/>
      <c r="B20" s="38"/>
      <c r="C20" s="38"/>
      <c r="D20" s="38"/>
      <c r="E20" s="39"/>
      <c r="F20" s="4"/>
      <c r="G20" s="4"/>
      <c r="H20" s="4"/>
      <c r="I20" s="4"/>
      <c r="J20" s="4"/>
      <c r="K20" s="4"/>
      <c r="L20" s="4"/>
      <c r="M20" s="4"/>
      <c r="N20" s="4"/>
      <c r="O20" s="4"/>
      <c r="P20" s="4"/>
      <c r="Q20" s="4"/>
    </row>
    <row r="21" spans="1:17" ht="16" x14ac:dyDescent="0.35">
      <c r="A21" s="36" t="s">
        <v>18</v>
      </c>
      <c r="B21" s="1" t="s">
        <v>12</v>
      </c>
      <c r="C21" s="1" t="s">
        <v>12</v>
      </c>
      <c r="D21" s="1" t="s">
        <v>12</v>
      </c>
      <c r="E21" s="3" t="s">
        <v>12</v>
      </c>
      <c r="F21" s="34"/>
      <c r="G21" s="35"/>
      <c r="H21" s="41"/>
      <c r="I21" s="34"/>
      <c r="J21" s="41"/>
      <c r="K21" s="42"/>
      <c r="L21" s="41"/>
      <c r="M21" s="41"/>
      <c r="N21" s="41"/>
      <c r="O21" s="34"/>
      <c r="P21" s="41"/>
      <c r="Q21" s="42"/>
    </row>
    <row r="22" spans="1:17" ht="16" x14ac:dyDescent="0.4">
      <c r="A22" s="37"/>
      <c r="B22" s="38"/>
      <c r="C22" s="38"/>
      <c r="D22" s="38"/>
      <c r="E22" s="39"/>
      <c r="F22" s="4"/>
      <c r="G22" s="4"/>
      <c r="H22" s="4"/>
      <c r="I22" s="4"/>
      <c r="J22" s="4"/>
      <c r="K22" s="4"/>
      <c r="L22" s="4"/>
      <c r="M22" s="4"/>
      <c r="N22" s="4"/>
      <c r="O22" s="4"/>
      <c r="P22" s="4"/>
      <c r="Q22" s="4"/>
    </row>
    <row r="23" spans="1:17" ht="48" x14ac:dyDescent="0.35">
      <c r="A23" s="36" t="s">
        <v>19</v>
      </c>
      <c r="B23" s="49" t="s">
        <v>277</v>
      </c>
      <c r="C23" s="49" t="s">
        <v>278</v>
      </c>
      <c r="D23" s="49" t="s">
        <v>279</v>
      </c>
      <c r="E23" s="58" t="s">
        <v>280</v>
      </c>
      <c r="F23" s="34"/>
      <c r="G23" s="35"/>
      <c r="H23" s="41"/>
      <c r="I23" s="34"/>
      <c r="J23" s="41"/>
      <c r="K23" s="35"/>
      <c r="L23" s="41"/>
      <c r="M23" s="41"/>
      <c r="N23" s="41"/>
      <c r="O23" s="34"/>
      <c r="P23" s="41"/>
      <c r="Q23" s="42"/>
    </row>
    <row r="24" spans="1:17" ht="16" x14ac:dyDescent="0.4">
      <c r="A24" s="37"/>
      <c r="B24" s="38"/>
      <c r="C24" s="38"/>
      <c r="D24" s="38"/>
      <c r="E24" s="39"/>
      <c r="F24" s="4"/>
      <c r="G24" s="4"/>
      <c r="H24" s="4"/>
      <c r="I24" s="4"/>
      <c r="J24" s="4"/>
      <c r="K24" s="4"/>
      <c r="L24" s="4"/>
      <c r="M24" s="4"/>
      <c r="N24" s="4"/>
      <c r="O24" s="4"/>
      <c r="P24" s="4"/>
      <c r="Q24" s="4"/>
    </row>
    <row r="25" spans="1:17" ht="32" x14ac:dyDescent="0.35">
      <c r="A25" s="36" t="s">
        <v>20</v>
      </c>
      <c r="B25" s="49" t="s">
        <v>303</v>
      </c>
      <c r="C25" s="49" t="s">
        <v>304</v>
      </c>
      <c r="D25" s="49" t="s">
        <v>305</v>
      </c>
      <c r="E25" s="58" t="s">
        <v>306</v>
      </c>
      <c r="F25" s="34"/>
      <c r="G25" s="35"/>
      <c r="H25" s="34"/>
      <c r="I25" s="43"/>
      <c r="J25" s="43"/>
      <c r="K25" s="42"/>
      <c r="L25" s="34"/>
      <c r="M25" s="34"/>
      <c r="N25" s="34"/>
      <c r="O25" s="43"/>
      <c r="P25" s="34"/>
      <c r="Q25" s="44"/>
    </row>
    <row r="26" spans="1:17" ht="16" x14ac:dyDescent="0.4">
      <c r="A26" s="37"/>
      <c r="B26" s="38"/>
      <c r="C26" s="38"/>
      <c r="D26" s="38"/>
      <c r="E26" s="39"/>
      <c r="F26" s="4"/>
      <c r="G26" s="4"/>
      <c r="H26" s="4"/>
      <c r="I26" s="4"/>
      <c r="J26" s="4"/>
      <c r="K26" s="4"/>
      <c r="L26" s="4"/>
      <c r="M26" s="4"/>
      <c r="N26" s="4"/>
      <c r="O26" s="4"/>
      <c r="P26" s="4"/>
      <c r="Q26" s="4"/>
    </row>
    <row r="27" spans="1:17" ht="16" x14ac:dyDescent="0.35">
      <c r="A27" s="36" t="s">
        <v>21</v>
      </c>
      <c r="B27" s="1" t="s">
        <v>12</v>
      </c>
      <c r="C27" s="1" t="s">
        <v>12</v>
      </c>
      <c r="D27" s="1" t="s">
        <v>12</v>
      </c>
      <c r="E27" s="3" t="s">
        <v>12</v>
      </c>
      <c r="F27" s="34"/>
      <c r="G27" s="35"/>
      <c r="H27" s="43"/>
      <c r="I27" s="34"/>
      <c r="J27" s="41"/>
      <c r="K27" s="45"/>
      <c r="L27" s="43"/>
      <c r="M27" s="34"/>
      <c r="N27" s="43"/>
      <c r="O27" s="34"/>
      <c r="P27" s="43"/>
      <c r="Q27" s="35"/>
    </row>
    <row r="28" spans="1:17" ht="16" x14ac:dyDescent="0.4">
      <c r="A28" s="37"/>
      <c r="B28" s="38"/>
      <c r="C28" s="38"/>
      <c r="D28" s="38"/>
      <c r="E28" s="39"/>
      <c r="F28" s="4"/>
      <c r="G28" s="4"/>
      <c r="H28" s="4"/>
      <c r="I28" s="4"/>
      <c r="J28" s="4"/>
      <c r="K28" s="4"/>
      <c r="L28" s="4"/>
      <c r="M28" s="4"/>
      <c r="N28" s="4"/>
      <c r="O28" s="4"/>
      <c r="P28" s="4"/>
      <c r="Q28" s="4"/>
    </row>
    <row r="29" spans="1:17" ht="48" x14ac:dyDescent="0.35">
      <c r="A29" s="36" t="s">
        <v>82</v>
      </c>
      <c r="B29" s="49" t="s">
        <v>209</v>
      </c>
      <c r="C29" s="49" t="s">
        <v>350</v>
      </c>
      <c r="D29" s="49" t="s">
        <v>351</v>
      </c>
      <c r="E29" s="58" t="s">
        <v>352</v>
      </c>
      <c r="F29" s="34"/>
      <c r="G29" s="35"/>
      <c r="H29" s="43"/>
      <c r="I29" s="34"/>
      <c r="J29" s="41"/>
      <c r="K29" s="45"/>
      <c r="L29" s="43"/>
      <c r="M29" s="43"/>
      <c r="N29" s="43"/>
      <c r="O29" s="43"/>
      <c r="P29" s="43"/>
      <c r="Q29" s="43"/>
    </row>
    <row r="30" spans="1:17" ht="16" x14ac:dyDescent="0.4">
      <c r="A30" s="37"/>
      <c r="B30" s="38"/>
      <c r="C30" s="38"/>
      <c r="D30" s="38"/>
      <c r="E30" s="39"/>
      <c r="F30" s="4"/>
      <c r="G30" s="4"/>
      <c r="H30" s="4"/>
      <c r="I30" s="4"/>
      <c r="J30" s="4"/>
      <c r="K30" s="4"/>
      <c r="L30" s="4"/>
      <c r="M30" s="4"/>
      <c r="N30" s="4"/>
      <c r="O30" s="4"/>
      <c r="P30" s="4"/>
      <c r="Q30" s="4"/>
    </row>
    <row r="31" spans="1:17" ht="409.5" customHeight="1" x14ac:dyDescent="0.35">
      <c r="A31" s="36" t="s">
        <v>88</v>
      </c>
      <c r="B31" s="90" t="s">
        <v>356</v>
      </c>
      <c r="C31" s="90" t="s">
        <v>358</v>
      </c>
      <c r="D31" s="89" t="s">
        <v>360</v>
      </c>
      <c r="E31" s="91" t="s">
        <v>362</v>
      </c>
      <c r="F31" s="34"/>
      <c r="G31" s="35"/>
      <c r="H31" s="43"/>
      <c r="I31" s="34"/>
      <c r="J31" s="41"/>
      <c r="K31" s="45"/>
      <c r="L31" s="43"/>
      <c r="M31" s="34"/>
      <c r="N31" s="43"/>
      <c r="O31" s="34"/>
      <c r="P31" s="43"/>
      <c r="Q31" s="35"/>
    </row>
    <row r="32" spans="1:17" ht="58.5" customHeight="1" x14ac:dyDescent="0.35">
      <c r="A32" s="36"/>
      <c r="B32" s="90"/>
      <c r="C32" s="90"/>
      <c r="D32" s="89"/>
      <c r="E32" s="91"/>
      <c r="F32" s="34"/>
      <c r="G32" s="35"/>
      <c r="H32" s="43"/>
      <c r="I32" s="34"/>
      <c r="J32" s="41"/>
      <c r="K32" s="45"/>
      <c r="L32" s="43"/>
      <c r="M32" s="34"/>
      <c r="N32" s="43"/>
      <c r="O32" s="34"/>
      <c r="P32" s="43"/>
      <c r="Q32" s="35"/>
    </row>
    <row r="33" spans="1:17" ht="48" x14ac:dyDescent="0.35">
      <c r="A33" s="36"/>
      <c r="B33" s="49" t="s">
        <v>357</v>
      </c>
      <c r="C33" s="49" t="s">
        <v>359</v>
      </c>
      <c r="D33" s="49" t="s">
        <v>361</v>
      </c>
      <c r="E33" s="58" t="s">
        <v>363</v>
      </c>
      <c r="F33" s="34"/>
      <c r="G33" s="35"/>
      <c r="H33" s="43"/>
      <c r="I33" s="34"/>
      <c r="J33" s="41"/>
      <c r="K33" s="45"/>
      <c r="L33" s="43"/>
      <c r="M33" s="34"/>
      <c r="N33" s="43"/>
      <c r="O33" s="34"/>
      <c r="P33" s="43"/>
      <c r="Q33" s="35"/>
    </row>
    <row r="34" spans="1:17" ht="16" x14ac:dyDescent="0.4">
      <c r="A34" s="37"/>
      <c r="B34" s="38"/>
      <c r="C34" s="38"/>
      <c r="D34" s="38"/>
      <c r="E34" s="39"/>
      <c r="F34" s="4"/>
      <c r="G34" s="4"/>
      <c r="H34" s="4"/>
      <c r="I34" s="4"/>
      <c r="J34" s="4"/>
      <c r="K34" s="4"/>
      <c r="L34" s="4"/>
      <c r="M34" s="4"/>
      <c r="N34" s="4"/>
      <c r="O34" s="4"/>
      <c r="P34" s="4"/>
      <c r="Q34" s="4"/>
    </row>
    <row r="35" spans="1:17" ht="32" x14ac:dyDescent="0.35">
      <c r="A35" s="36" t="s">
        <v>94</v>
      </c>
      <c r="B35" s="49" t="s">
        <v>376</v>
      </c>
      <c r="C35" s="49" t="s">
        <v>377</v>
      </c>
      <c r="D35" s="49" t="s">
        <v>378</v>
      </c>
      <c r="E35" s="58" t="s">
        <v>379</v>
      </c>
      <c r="F35" s="34"/>
      <c r="G35" s="35"/>
      <c r="H35" s="43"/>
      <c r="I35" s="34"/>
      <c r="J35" s="41"/>
      <c r="K35" s="45"/>
      <c r="L35" s="43"/>
      <c r="M35" s="34"/>
      <c r="N35" s="43"/>
      <c r="O35" s="34"/>
      <c r="P35" s="43"/>
      <c r="Q35" s="35"/>
    </row>
    <row r="36" spans="1:17" ht="16" x14ac:dyDescent="0.4">
      <c r="A36" s="37"/>
      <c r="B36" s="38"/>
      <c r="C36" s="38"/>
      <c r="D36" s="38"/>
      <c r="E36" s="39"/>
      <c r="F36" s="4"/>
      <c r="G36" s="4"/>
      <c r="H36" s="4"/>
      <c r="I36" s="4"/>
      <c r="J36" s="4"/>
      <c r="K36" s="4"/>
      <c r="L36" s="4"/>
      <c r="M36" s="4"/>
      <c r="N36" s="4"/>
      <c r="O36" s="4"/>
      <c r="P36" s="4"/>
      <c r="Q36" s="4"/>
    </row>
    <row r="37" spans="1:17" ht="48" x14ac:dyDescent="0.35">
      <c r="A37" s="71" t="s">
        <v>100</v>
      </c>
      <c r="B37" s="49" t="s">
        <v>386</v>
      </c>
      <c r="C37" s="49" t="s">
        <v>389</v>
      </c>
      <c r="D37" s="49" t="s">
        <v>392</v>
      </c>
      <c r="E37" s="91" t="s">
        <v>394</v>
      </c>
      <c r="F37" s="34"/>
      <c r="G37" s="35"/>
      <c r="H37" s="43"/>
      <c r="I37" s="34"/>
      <c r="J37" s="41"/>
      <c r="K37" s="40"/>
      <c r="L37" s="43"/>
      <c r="M37" s="43"/>
      <c r="N37" s="43"/>
      <c r="O37" s="34"/>
      <c r="P37" s="43"/>
      <c r="Q37" s="46"/>
    </row>
    <row r="38" spans="1:17" ht="48" x14ac:dyDescent="0.35">
      <c r="A38" s="71"/>
      <c r="B38" s="49" t="s">
        <v>387</v>
      </c>
      <c r="C38" s="49" t="s">
        <v>390</v>
      </c>
      <c r="D38" s="49" t="s">
        <v>393</v>
      </c>
      <c r="E38" s="91"/>
      <c r="F38" s="34"/>
      <c r="G38" s="35"/>
      <c r="H38" s="43"/>
      <c r="I38" s="34"/>
      <c r="J38" s="41"/>
      <c r="K38" s="40"/>
      <c r="L38" s="43"/>
      <c r="M38" s="43"/>
      <c r="N38" s="43"/>
      <c r="O38" s="34"/>
      <c r="P38" s="43"/>
      <c r="Q38" s="46"/>
    </row>
    <row r="39" spans="1:17" ht="48" x14ac:dyDescent="0.35">
      <c r="A39" s="71"/>
      <c r="B39" s="49" t="s">
        <v>388</v>
      </c>
      <c r="C39" s="49" t="s">
        <v>391</v>
      </c>
      <c r="D39" s="49" t="s">
        <v>391</v>
      </c>
      <c r="E39" s="58" t="s">
        <v>395</v>
      </c>
      <c r="F39" s="34"/>
      <c r="G39" s="35"/>
      <c r="H39" s="43"/>
      <c r="I39" s="34"/>
      <c r="J39" s="41"/>
      <c r="K39" s="40"/>
      <c r="L39" s="43"/>
      <c r="M39" s="43"/>
      <c r="N39" s="43"/>
      <c r="O39" s="34"/>
      <c r="P39" s="43"/>
      <c r="Q39" s="46"/>
    </row>
    <row r="40" spans="1:17" ht="16" x14ac:dyDescent="0.4">
      <c r="A40" s="37"/>
      <c r="B40" s="38"/>
      <c r="C40" s="38"/>
      <c r="D40" s="38"/>
      <c r="E40" s="39"/>
      <c r="F40" s="4"/>
      <c r="G40" s="4"/>
      <c r="H40" s="4"/>
      <c r="I40" s="4"/>
      <c r="J40" s="4"/>
      <c r="K40" s="4"/>
      <c r="L40" s="4"/>
      <c r="M40" s="4"/>
      <c r="N40" s="4"/>
      <c r="O40" s="4"/>
      <c r="P40" s="4"/>
      <c r="Q40" s="4"/>
    </row>
    <row r="41" spans="1:17" ht="16" x14ac:dyDescent="0.35">
      <c r="A41" s="36" t="s">
        <v>105</v>
      </c>
      <c r="B41" s="1" t="s">
        <v>12</v>
      </c>
      <c r="C41" s="1" t="s">
        <v>12</v>
      </c>
      <c r="D41" s="1" t="s">
        <v>12</v>
      </c>
      <c r="E41" s="3" t="s">
        <v>12</v>
      </c>
      <c r="F41" s="34"/>
      <c r="G41" s="35"/>
      <c r="H41" s="43"/>
      <c r="I41" s="34"/>
      <c r="J41" s="41"/>
      <c r="K41" s="45"/>
      <c r="L41" s="43"/>
      <c r="M41" s="43"/>
      <c r="N41" s="43"/>
      <c r="O41" s="34"/>
      <c r="P41" s="43"/>
      <c r="Q41" s="35"/>
    </row>
    <row r="42" spans="1:17" ht="16.5" thickBot="1" x14ac:dyDescent="0.45">
      <c r="A42" s="59"/>
      <c r="B42" s="60"/>
      <c r="C42" s="60"/>
      <c r="D42" s="60"/>
      <c r="E42" s="61"/>
      <c r="F42" s="4"/>
      <c r="G42" s="4"/>
      <c r="H42" s="4"/>
      <c r="I42" s="4"/>
      <c r="J42" s="4"/>
      <c r="K42" s="4"/>
      <c r="L42" s="4"/>
      <c r="M42" s="4"/>
      <c r="N42" s="4"/>
      <c r="O42" s="4"/>
      <c r="P42" s="4"/>
      <c r="Q42" s="4"/>
    </row>
  </sheetData>
  <mergeCells count="9">
    <mergeCell ref="A37:A39"/>
    <mergeCell ref="E37:E38"/>
    <mergeCell ref="A1:E1"/>
    <mergeCell ref="A11:A13"/>
    <mergeCell ref="A15:A17"/>
    <mergeCell ref="D31:D32"/>
    <mergeCell ref="B31:B32"/>
    <mergeCell ref="C31:C32"/>
    <mergeCell ref="E31:E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E7FA-ACF1-4994-89A6-9D1D321A2A84}">
  <dimension ref="A1:I42"/>
  <sheetViews>
    <sheetView workbookViewId="0">
      <selection activeCell="M9" sqref="M9"/>
    </sheetView>
  </sheetViews>
  <sheetFormatPr defaultRowHeight="14.5" x14ac:dyDescent="0.35"/>
  <cols>
    <col min="2" max="2" width="20.54296875" customWidth="1"/>
    <col min="3" max="3" width="20" customWidth="1"/>
    <col min="4" max="4" width="17.453125" customWidth="1"/>
    <col min="5" max="5" width="18.1796875" customWidth="1"/>
    <col min="6" max="6" width="17.36328125" customWidth="1"/>
    <col min="7" max="7" width="18.08984375" customWidth="1"/>
    <col min="8" max="8" width="17.453125" customWidth="1"/>
    <col min="9" max="9" width="19.54296875" customWidth="1"/>
  </cols>
  <sheetData>
    <row r="1" spans="1:9" ht="23.5" x14ac:dyDescent="0.55000000000000004">
      <c r="A1" s="83" t="s">
        <v>127</v>
      </c>
      <c r="B1" s="84"/>
      <c r="C1" s="84"/>
      <c r="D1" s="84"/>
      <c r="E1" s="84"/>
      <c r="F1" s="84"/>
      <c r="G1" s="84"/>
      <c r="H1" s="84"/>
      <c r="I1" s="85"/>
    </row>
    <row r="2" spans="1:9" ht="32" x14ac:dyDescent="0.35">
      <c r="A2" s="20" t="s">
        <v>9</v>
      </c>
      <c r="B2" s="8" t="s">
        <v>118</v>
      </c>
      <c r="C2" s="9" t="s">
        <v>119</v>
      </c>
      <c r="D2" s="9" t="s">
        <v>120</v>
      </c>
      <c r="E2" s="9" t="s">
        <v>121</v>
      </c>
      <c r="F2" s="9" t="s">
        <v>122</v>
      </c>
      <c r="G2" s="9" t="s">
        <v>123</v>
      </c>
      <c r="H2" s="9" t="s">
        <v>124</v>
      </c>
      <c r="I2" s="21" t="s">
        <v>125</v>
      </c>
    </row>
    <row r="3" spans="1:9" ht="16" x14ac:dyDescent="0.35">
      <c r="A3" s="36" t="s">
        <v>10</v>
      </c>
      <c r="B3" s="1" t="s">
        <v>12</v>
      </c>
      <c r="C3" s="1" t="s">
        <v>12</v>
      </c>
      <c r="D3" s="1" t="s">
        <v>12</v>
      </c>
      <c r="E3" s="2" t="s">
        <v>12</v>
      </c>
      <c r="F3" s="1" t="s">
        <v>12</v>
      </c>
      <c r="G3" s="2" t="s">
        <v>12</v>
      </c>
      <c r="H3" s="10" t="s">
        <v>12</v>
      </c>
      <c r="I3" s="25" t="s">
        <v>12</v>
      </c>
    </row>
    <row r="4" spans="1:9" ht="16" x14ac:dyDescent="0.4">
      <c r="A4" s="37"/>
      <c r="B4" s="38"/>
      <c r="C4" s="38"/>
      <c r="D4" s="38"/>
      <c r="E4" s="38"/>
      <c r="F4" s="38"/>
      <c r="G4" s="38"/>
      <c r="H4" s="38"/>
      <c r="I4" s="39"/>
    </row>
    <row r="5" spans="1:9" ht="16" x14ac:dyDescent="0.35">
      <c r="A5" s="36" t="s">
        <v>11</v>
      </c>
      <c r="B5" s="1" t="s">
        <v>12</v>
      </c>
      <c r="C5" s="1" t="s">
        <v>12</v>
      </c>
      <c r="D5" s="1" t="s">
        <v>12</v>
      </c>
      <c r="E5" s="2" t="s">
        <v>12</v>
      </c>
      <c r="F5" s="1" t="s">
        <v>12</v>
      </c>
      <c r="G5" s="2" t="s">
        <v>12</v>
      </c>
      <c r="H5" s="10" t="s">
        <v>12</v>
      </c>
      <c r="I5" s="25" t="s">
        <v>12</v>
      </c>
    </row>
    <row r="6" spans="1:9" ht="16" x14ac:dyDescent="0.4">
      <c r="A6" s="37"/>
      <c r="B6" s="38"/>
      <c r="C6" s="38"/>
      <c r="D6" s="38"/>
      <c r="E6" s="38"/>
      <c r="F6" s="38"/>
      <c r="G6" s="38"/>
      <c r="H6" s="38"/>
      <c r="I6" s="39"/>
    </row>
    <row r="7" spans="1:9" ht="16" x14ac:dyDescent="0.35">
      <c r="A7" s="36" t="s">
        <v>13</v>
      </c>
      <c r="B7" s="1" t="s">
        <v>12</v>
      </c>
      <c r="C7" s="1" t="s">
        <v>12</v>
      </c>
      <c r="D7" s="1" t="s">
        <v>12</v>
      </c>
      <c r="E7" s="2" t="s">
        <v>12</v>
      </c>
      <c r="F7" s="1" t="s">
        <v>12</v>
      </c>
      <c r="G7" s="2" t="s">
        <v>12</v>
      </c>
      <c r="H7" s="10" t="s">
        <v>12</v>
      </c>
      <c r="I7" s="25" t="s">
        <v>12</v>
      </c>
    </row>
    <row r="8" spans="1:9" ht="16" x14ac:dyDescent="0.4">
      <c r="A8" s="37"/>
      <c r="B8" s="38"/>
      <c r="C8" s="38"/>
      <c r="D8" s="38"/>
      <c r="E8" s="38"/>
      <c r="F8" s="38"/>
      <c r="G8" s="38"/>
      <c r="H8" s="38"/>
      <c r="I8" s="39"/>
    </row>
    <row r="9" spans="1:9" ht="48" x14ac:dyDescent="0.35">
      <c r="A9" s="71" t="s">
        <v>14</v>
      </c>
      <c r="B9" s="49" t="s">
        <v>198</v>
      </c>
      <c r="C9" s="49" t="s">
        <v>200</v>
      </c>
      <c r="D9" s="49" t="s">
        <v>12</v>
      </c>
      <c r="E9" s="53" t="s">
        <v>202</v>
      </c>
      <c r="F9" s="49" t="s">
        <v>204</v>
      </c>
      <c r="G9" s="1">
        <v>325</v>
      </c>
      <c r="H9" s="10" t="s">
        <v>205</v>
      </c>
      <c r="I9" s="25" t="s">
        <v>12</v>
      </c>
    </row>
    <row r="10" spans="1:9" ht="48" x14ac:dyDescent="0.35">
      <c r="A10" s="71"/>
      <c r="B10" s="49" t="s">
        <v>199</v>
      </c>
      <c r="C10" s="49" t="s">
        <v>201</v>
      </c>
      <c r="D10" s="49" t="s">
        <v>12</v>
      </c>
      <c r="E10" s="53" t="s">
        <v>203</v>
      </c>
      <c r="F10" s="49" t="s">
        <v>204</v>
      </c>
      <c r="G10" s="1">
        <v>287</v>
      </c>
      <c r="H10" s="10" t="s">
        <v>206</v>
      </c>
      <c r="I10" s="25" t="s">
        <v>12</v>
      </c>
    </row>
    <row r="11" spans="1:9" ht="16" x14ac:dyDescent="0.4">
      <c r="A11" s="37"/>
      <c r="B11" s="38"/>
      <c r="C11" s="38"/>
      <c r="D11" s="38"/>
      <c r="E11" s="38"/>
      <c r="F11" s="38"/>
      <c r="G11" s="38"/>
      <c r="H11" s="38"/>
      <c r="I11" s="39"/>
    </row>
    <row r="12" spans="1:9" ht="48" x14ac:dyDescent="0.35">
      <c r="A12" s="71" t="s">
        <v>15</v>
      </c>
      <c r="B12" s="49" t="s">
        <v>168</v>
      </c>
      <c r="C12" s="49" t="s">
        <v>175</v>
      </c>
      <c r="D12" s="49" t="s">
        <v>182</v>
      </c>
      <c r="E12" s="53" t="s">
        <v>184</v>
      </c>
      <c r="F12" s="52" t="s">
        <v>190</v>
      </c>
      <c r="G12" s="2" t="s">
        <v>12</v>
      </c>
      <c r="H12" s="10" t="s">
        <v>192</v>
      </c>
      <c r="I12" s="25" t="s">
        <v>12</v>
      </c>
    </row>
    <row r="13" spans="1:9" ht="64" x14ac:dyDescent="0.35">
      <c r="A13" s="71"/>
      <c r="B13" s="49" t="s">
        <v>169</v>
      </c>
      <c r="C13" s="49" t="s">
        <v>176</v>
      </c>
      <c r="D13" s="49" t="s">
        <v>182</v>
      </c>
      <c r="E13" s="53" t="s">
        <v>184</v>
      </c>
      <c r="F13" s="52" t="s">
        <v>190</v>
      </c>
      <c r="G13" s="2" t="s">
        <v>12</v>
      </c>
      <c r="H13" s="10" t="s">
        <v>193</v>
      </c>
      <c r="I13" s="25" t="s">
        <v>12</v>
      </c>
    </row>
    <row r="14" spans="1:9" ht="80" x14ac:dyDescent="0.35">
      <c r="A14" s="71"/>
      <c r="B14" s="49" t="s">
        <v>170</v>
      </c>
      <c r="C14" s="49" t="s">
        <v>177</v>
      </c>
      <c r="D14" s="49" t="s">
        <v>182</v>
      </c>
      <c r="E14" s="53" t="s">
        <v>185</v>
      </c>
      <c r="F14" s="52" t="s">
        <v>190</v>
      </c>
      <c r="G14" s="2" t="s">
        <v>12</v>
      </c>
      <c r="H14" s="10" t="s">
        <v>194</v>
      </c>
      <c r="I14" s="25" t="s">
        <v>12</v>
      </c>
    </row>
    <row r="15" spans="1:9" ht="48" x14ac:dyDescent="0.35">
      <c r="A15" s="71"/>
      <c r="B15" s="49" t="s">
        <v>171</v>
      </c>
      <c r="C15" s="52" t="s">
        <v>178</v>
      </c>
      <c r="D15" s="49" t="s">
        <v>182</v>
      </c>
      <c r="E15" s="53" t="s">
        <v>186</v>
      </c>
      <c r="F15" s="52" t="s">
        <v>190</v>
      </c>
      <c r="G15" s="2" t="s">
        <v>12</v>
      </c>
      <c r="H15" s="10" t="s">
        <v>195</v>
      </c>
      <c r="I15" s="25" t="s">
        <v>12</v>
      </c>
    </row>
    <row r="16" spans="1:9" ht="32" x14ac:dyDescent="0.35">
      <c r="A16" s="71"/>
      <c r="B16" s="49" t="s">
        <v>172</v>
      </c>
      <c r="C16" s="52" t="s">
        <v>179</v>
      </c>
      <c r="D16" s="49" t="s">
        <v>183</v>
      </c>
      <c r="E16" s="53" t="s">
        <v>187</v>
      </c>
      <c r="F16" s="52" t="s">
        <v>191</v>
      </c>
      <c r="G16" s="2" t="s">
        <v>12</v>
      </c>
      <c r="H16" s="10" t="s">
        <v>196</v>
      </c>
      <c r="I16" s="25" t="s">
        <v>12</v>
      </c>
    </row>
    <row r="17" spans="1:9" ht="48" x14ac:dyDescent="0.35">
      <c r="A17" s="71"/>
      <c r="B17" s="49" t="s">
        <v>173</v>
      </c>
      <c r="C17" s="49" t="s">
        <v>180</v>
      </c>
      <c r="D17" s="49" t="s">
        <v>182</v>
      </c>
      <c r="E17" s="53" t="s">
        <v>188</v>
      </c>
      <c r="F17" s="52" t="s">
        <v>190</v>
      </c>
      <c r="G17" s="2" t="s">
        <v>12</v>
      </c>
      <c r="H17" s="10" t="s">
        <v>197</v>
      </c>
      <c r="I17" s="25" t="s">
        <v>12</v>
      </c>
    </row>
    <row r="18" spans="1:9" ht="32" x14ac:dyDescent="0.35">
      <c r="A18" s="71"/>
      <c r="B18" s="49" t="s">
        <v>174</v>
      </c>
      <c r="C18" s="49" t="s">
        <v>181</v>
      </c>
      <c r="D18" s="49" t="s">
        <v>182</v>
      </c>
      <c r="E18" s="53" t="s">
        <v>189</v>
      </c>
      <c r="F18" s="52" t="s">
        <v>190</v>
      </c>
      <c r="G18" s="2" t="s">
        <v>12</v>
      </c>
      <c r="H18" s="10" t="s">
        <v>197</v>
      </c>
      <c r="I18" s="25" t="s">
        <v>12</v>
      </c>
    </row>
    <row r="19" spans="1:9" ht="16" x14ac:dyDescent="0.4">
      <c r="A19" s="37"/>
      <c r="B19" s="38"/>
      <c r="C19" s="38"/>
      <c r="D19" s="38"/>
      <c r="E19" s="38"/>
      <c r="F19" s="38"/>
      <c r="G19" s="38"/>
      <c r="H19" s="38"/>
      <c r="I19" s="39"/>
    </row>
    <row r="20" spans="1:9" ht="16" x14ac:dyDescent="0.35">
      <c r="A20" s="36" t="s">
        <v>16</v>
      </c>
      <c r="B20" s="1" t="s">
        <v>12</v>
      </c>
      <c r="C20" s="1" t="s">
        <v>12</v>
      </c>
      <c r="D20" s="1" t="s">
        <v>12</v>
      </c>
      <c r="E20" s="2" t="s">
        <v>12</v>
      </c>
      <c r="F20" s="1" t="s">
        <v>12</v>
      </c>
      <c r="G20" s="2" t="s">
        <v>12</v>
      </c>
      <c r="H20" s="10" t="s">
        <v>12</v>
      </c>
      <c r="I20" s="25" t="s">
        <v>12</v>
      </c>
    </row>
    <row r="21" spans="1:9" ht="16" x14ac:dyDescent="0.4">
      <c r="A21" s="37"/>
      <c r="B21" s="38"/>
      <c r="C21" s="38"/>
      <c r="D21" s="38"/>
      <c r="E21" s="38"/>
      <c r="F21" s="38"/>
      <c r="G21" s="38"/>
      <c r="H21" s="38"/>
      <c r="I21" s="39"/>
    </row>
    <row r="22" spans="1:9" ht="64" x14ac:dyDescent="0.35">
      <c r="A22" s="36" t="s">
        <v>17</v>
      </c>
      <c r="B22" s="49" t="s">
        <v>252</v>
      </c>
      <c r="C22" s="49" t="s">
        <v>253</v>
      </c>
      <c r="D22" s="49" t="s">
        <v>254</v>
      </c>
      <c r="E22" s="53" t="s">
        <v>255</v>
      </c>
      <c r="F22" s="49" t="s">
        <v>256</v>
      </c>
      <c r="G22" s="53" t="s">
        <v>257</v>
      </c>
      <c r="H22" s="49" t="s">
        <v>258</v>
      </c>
      <c r="I22" s="62" t="s">
        <v>12</v>
      </c>
    </row>
    <row r="23" spans="1:9" ht="16" x14ac:dyDescent="0.4">
      <c r="A23" s="37"/>
      <c r="B23" s="38"/>
      <c r="C23" s="38"/>
      <c r="D23" s="38"/>
      <c r="E23" s="38"/>
      <c r="F23" s="38"/>
      <c r="G23" s="38"/>
      <c r="H23" s="38"/>
      <c r="I23" s="39"/>
    </row>
    <row r="24" spans="1:9" ht="16" x14ac:dyDescent="0.35">
      <c r="A24" s="36" t="s">
        <v>18</v>
      </c>
      <c r="B24" s="1" t="s">
        <v>12</v>
      </c>
      <c r="C24" s="1" t="s">
        <v>12</v>
      </c>
      <c r="D24" s="1" t="s">
        <v>12</v>
      </c>
      <c r="E24" s="2" t="s">
        <v>12</v>
      </c>
      <c r="F24" s="1" t="s">
        <v>12</v>
      </c>
      <c r="G24" s="2" t="s">
        <v>12</v>
      </c>
      <c r="H24" s="10" t="s">
        <v>12</v>
      </c>
      <c r="I24" s="25" t="s">
        <v>12</v>
      </c>
    </row>
    <row r="25" spans="1:9" ht="16" x14ac:dyDescent="0.4">
      <c r="A25" s="37"/>
      <c r="B25" s="38"/>
      <c r="C25" s="38"/>
      <c r="D25" s="38"/>
      <c r="E25" s="38"/>
      <c r="F25" s="38"/>
      <c r="G25" s="38"/>
      <c r="H25" s="38"/>
      <c r="I25" s="39"/>
    </row>
    <row r="26" spans="1:9" ht="176" x14ac:dyDescent="0.35">
      <c r="A26" s="36" t="s">
        <v>19</v>
      </c>
      <c r="B26" s="49" t="s">
        <v>281</v>
      </c>
      <c r="C26" s="49" t="s">
        <v>282</v>
      </c>
      <c r="D26" s="49" t="s">
        <v>283</v>
      </c>
      <c r="E26" s="53" t="s">
        <v>284</v>
      </c>
      <c r="F26" s="52" t="s">
        <v>279</v>
      </c>
      <c r="G26" s="2" t="s">
        <v>12</v>
      </c>
      <c r="H26" s="55">
        <v>141884.26999999999</v>
      </c>
      <c r="I26" s="63" t="s">
        <v>12</v>
      </c>
    </row>
    <row r="27" spans="1:9" ht="16" x14ac:dyDescent="0.4">
      <c r="A27" s="37"/>
      <c r="B27" s="38"/>
      <c r="C27" s="38"/>
      <c r="D27" s="38"/>
      <c r="E27" s="38"/>
      <c r="F27" s="38"/>
      <c r="G27" s="38"/>
      <c r="H27" s="38"/>
      <c r="I27" s="39"/>
    </row>
    <row r="28" spans="1:9" ht="48" x14ac:dyDescent="0.35">
      <c r="A28" s="36" t="s">
        <v>20</v>
      </c>
      <c r="B28" s="49" t="s">
        <v>307</v>
      </c>
      <c r="C28" s="49" t="s">
        <v>308</v>
      </c>
      <c r="D28" s="49" t="s">
        <v>309</v>
      </c>
      <c r="E28" s="53" t="s">
        <v>310</v>
      </c>
      <c r="F28" s="49" t="s">
        <v>311</v>
      </c>
      <c r="G28" s="53" t="s">
        <v>312</v>
      </c>
      <c r="H28" s="56" t="s">
        <v>313</v>
      </c>
      <c r="I28" s="64" t="s">
        <v>12</v>
      </c>
    </row>
    <row r="29" spans="1:9" ht="16" x14ac:dyDescent="0.4">
      <c r="A29" s="37"/>
      <c r="B29" s="38"/>
      <c r="C29" s="38"/>
      <c r="D29" s="38"/>
      <c r="E29" s="38"/>
      <c r="F29" s="38"/>
      <c r="G29" s="38"/>
      <c r="H29" s="38"/>
      <c r="I29" s="39"/>
    </row>
    <row r="30" spans="1:9" ht="32" x14ac:dyDescent="0.35">
      <c r="A30" s="71" t="s">
        <v>21</v>
      </c>
      <c r="B30" s="49" t="s">
        <v>321</v>
      </c>
      <c r="C30" s="49" t="s">
        <v>322</v>
      </c>
      <c r="D30" s="49" t="s">
        <v>324</v>
      </c>
      <c r="E30" s="53" t="s">
        <v>325</v>
      </c>
      <c r="F30" s="49" t="s">
        <v>327</v>
      </c>
      <c r="G30" s="49" t="s">
        <v>12</v>
      </c>
      <c r="H30" s="49" t="s">
        <v>12</v>
      </c>
      <c r="I30" s="64" t="s">
        <v>12</v>
      </c>
    </row>
    <row r="31" spans="1:9" ht="32" x14ac:dyDescent="0.35">
      <c r="A31" s="71"/>
      <c r="B31" s="49"/>
      <c r="C31" s="49" t="s">
        <v>323</v>
      </c>
      <c r="D31" s="49"/>
      <c r="E31" s="53" t="s">
        <v>326</v>
      </c>
      <c r="F31" s="49" t="s">
        <v>328</v>
      </c>
      <c r="G31" s="49" t="s">
        <v>12</v>
      </c>
      <c r="H31" s="49" t="s">
        <v>12</v>
      </c>
      <c r="I31" s="64" t="s">
        <v>12</v>
      </c>
    </row>
    <row r="32" spans="1:9" ht="16" x14ac:dyDescent="0.4">
      <c r="A32" s="37"/>
      <c r="B32" s="38"/>
      <c r="C32" s="38"/>
      <c r="D32" s="38"/>
      <c r="E32" s="38"/>
      <c r="F32" s="38"/>
      <c r="G32" s="38"/>
      <c r="H32" s="38"/>
      <c r="I32" s="39"/>
    </row>
    <row r="33" spans="1:9" ht="48" x14ac:dyDescent="0.35">
      <c r="A33" s="36" t="s">
        <v>82</v>
      </c>
      <c r="B33" s="52" t="s">
        <v>353</v>
      </c>
      <c r="C33" s="52" t="s">
        <v>12</v>
      </c>
      <c r="D33" s="52" t="s">
        <v>353</v>
      </c>
      <c r="E33" s="53" t="s">
        <v>354</v>
      </c>
      <c r="F33" s="49" t="s">
        <v>355</v>
      </c>
      <c r="G33" s="54" t="s">
        <v>12</v>
      </c>
      <c r="H33" s="54" t="s">
        <v>12</v>
      </c>
      <c r="I33" s="65" t="s">
        <v>12</v>
      </c>
    </row>
    <row r="34" spans="1:9" ht="16" x14ac:dyDescent="0.4">
      <c r="A34" s="37"/>
      <c r="B34" s="38"/>
      <c r="C34" s="38"/>
      <c r="D34" s="38"/>
      <c r="E34" s="38"/>
      <c r="F34" s="38"/>
      <c r="G34" s="38"/>
      <c r="H34" s="38"/>
      <c r="I34" s="39"/>
    </row>
    <row r="35" spans="1:9" ht="16" x14ac:dyDescent="0.35">
      <c r="A35" s="36" t="s">
        <v>88</v>
      </c>
      <c r="B35" s="1" t="s">
        <v>12</v>
      </c>
      <c r="C35" s="1" t="s">
        <v>12</v>
      </c>
      <c r="D35" s="1" t="s">
        <v>12</v>
      </c>
      <c r="E35" s="2" t="s">
        <v>12</v>
      </c>
      <c r="F35" s="1" t="s">
        <v>12</v>
      </c>
      <c r="G35" s="2" t="s">
        <v>12</v>
      </c>
      <c r="H35" s="10" t="s">
        <v>12</v>
      </c>
      <c r="I35" s="25" t="s">
        <v>12</v>
      </c>
    </row>
    <row r="36" spans="1:9" ht="16" x14ac:dyDescent="0.4">
      <c r="A36" s="37"/>
      <c r="B36" s="38"/>
      <c r="C36" s="38"/>
      <c r="D36" s="38"/>
      <c r="E36" s="38"/>
      <c r="F36" s="38"/>
      <c r="G36" s="38"/>
      <c r="H36" s="38"/>
      <c r="I36" s="39"/>
    </row>
    <row r="37" spans="1:9" ht="16" x14ac:dyDescent="0.35">
      <c r="A37" s="36" t="s">
        <v>94</v>
      </c>
      <c r="B37" s="1" t="s">
        <v>12</v>
      </c>
      <c r="C37" s="1" t="s">
        <v>12</v>
      </c>
      <c r="D37" s="1" t="s">
        <v>12</v>
      </c>
      <c r="E37" s="2" t="s">
        <v>12</v>
      </c>
      <c r="F37" s="1" t="s">
        <v>12</v>
      </c>
      <c r="G37" s="2" t="s">
        <v>12</v>
      </c>
      <c r="H37" s="10" t="s">
        <v>12</v>
      </c>
      <c r="I37" s="25" t="s">
        <v>12</v>
      </c>
    </row>
    <row r="38" spans="1:9" ht="16" x14ac:dyDescent="0.4">
      <c r="A38" s="37"/>
      <c r="B38" s="38"/>
      <c r="C38" s="38"/>
      <c r="D38" s="38"/>
      <c r="E38" s="38"/>
      <c r="F38" s="38"/>
      <c r="G38" s="38"/>
      <c r="H38" s="38"/>
      <c r="I38" s="39"/>
    </row>
    <row r="39" spans="1:9" ht="16" x14ac:dyDescent="0.35">
      <c r="A39" s="36" t="s">
        <v>100</v>
      </c>
      <c r="B39" s="1" t="s">
        <v>12</v>
      </c>
      <c r="C39" s="1" t="s">
        <v>12</v>
      </c>
      <c r="D39" s="1" t="s">
        <v>12</v>
      </c>
      <c r="E39" s="2" t="s">
        <v>12</v>
      </c>
      <c r="F39" s="1" t="s">
        <v>12</v>
      </c>
      <c r="G39" s="2" t="s">
        <v>12</v>
      </c>
      <c r="H39" s="10" t="s">
        <v>12</v>
      </c>
      <c r="I39" s="25" t="s">
        <v>12</v>
      </c>
    </row>
    <row r="40" spans="1:9" ht="16" x14ac:dyDescent="0.4">
      <c r="A40" s="37"/>
      <c r="B40" s="38"/>
      <c r="C40" s="38"/>
      <c r="D40" s="38"/>
      <c r="E40" s="38"/>
      <c r="F40" s="38"/>
      <c r="G40" s="38"/>
      <c r="H40" s="38"/>
      <c r="I40" s="39"/>
    </row>
    <row r="41" spans="1:9" ht="16" x14ac:dyDescent="0.35">
      <c r="A41" s="36" t="s">
        <v>105</v>
      </c>
      <c r="B41" s="1" t="s">
        <v>12</v>
      </c>
      <c r="C41" s="1" t="s">
        <v>12</v>
      </c>
      <c r="D41" s="1" t="s">
        <v>12</v>
      </c>
      <c r="E41" s="2" t="s">
        <v>12</v>
      </c>
      <c r="F41" s="1" t="s">
        <v>12</v>
      </c>
      <c r="G41" s="2" t="s">
        <v>12</v>
      </c>
      <c r="H41" s="10" t="s">
        <v>12</v>
      </c>
      <c r="I41" s="25" t="s">
        <v>12</v>
      </c>
    </row>
    <row r="42" spans="1:9" ht="16.5" thickBot="1" x14ac:dyDescent="0.45">
      <c r="A42" s="59"/>
      <c r="B42" s="60"/>
      <c r="C42" s="60"/>
      <c r="D42" s="60"/>
      <c r="E42" s="60"/>
      <c r="F42" s="60"/>
      <c r="G42" s="60"/>
      <c r="H42" s="60"/>
      <c r="I42" s="61"/>
    </row>
  </sheetData>
  <mergeCells count="4">
    <mergeCell ref="A1:I1"/>
    <mergeCell ref="A12:A18"/>
    <mergeCell ref="A9:A10"/>
    <mergeCell ref="A30:A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F8BED-D162-483F-98F1-523820613714}">
  <dimension ref="A1:I37"/>
  <sheetViews>
    <sheetView workbookViewId="0">
      <selection sqref="A1:I37"/>
    </sheetView>
  </sheetViews>
  <sheetFormatPr defaultRowHeight="14.5" x14ac:dyDescent="0.35"/>
  <cols>
    <col min="2" max="2" width="20.54296875" customWidth="1"/>
    <col min="3" max="3" width="15.7265625" customWidth="1"/>
    <col min="4" max="4" width="17.453125" customWidth="1"/>
    <col min="5" max="5" width="18.1796875" customWidth="1"/>
    <col min="6" max="6" width="17.36328125" customWidth="1"/>
    <col min="7" max="7" width="18.08984375" customWidth="1"/>
    <col min="8" max="8" width="17.453125" customWidth="1"/>
    <col min="9" max="9" width="19.54296875" customWidth="1"/>
  </cols>
  <sheetData>
    <row r="1" spans="1:9" ht="23.5" x14ac:dyDescent="0.55000000000000004">
      <c r="A1" s="83" t="s">
        <v>126</v>
      </c>
      <c r="B1" s="84"/>
      <c r="C1" s="84"/>
      <c r="D1" s="84"/>
      <c r="E1" s="84"/>
      <c r="F1" s="84"/>
      <c r="G1" s="84"/>
      <c r="H1" s="84"/>
      <c r="I1" s="85"/>
    </row>
    <row r="2" spans="1:9" ht="32" x14ac:dyDescent="0.35">
      <c r="A2" s="20" t="s">
        <v>9</v>
      </c>
      <c r="B2" s="8" t="s">
        <v>118</v>
      </c>
      <c r="C2" s="9" t="s">
        <v>119</v>
      </c>
      <c r="D2" s="9" t="s">
        <v>120</v>
      </c>
      <c r="E2" s="9" t="s">
        <v>121</v>
      </c>
      <c r="F2" s="9" t="s">
        <v>122</v>
      </c>
      <c r="G2" s="9" t="s">
        <v>123</v>
      </c>
      <c r="H2" s="9" t="s">
        <v>124</v>
      </c>
      <c r="I2" s="21" t="s">
        <v>125</v>
      </c>
    </row>
    <row r="3" spans="1:9" ht="176" x14ac:dyDescent="0.35">
      <c r="A3" s="36" t="s">
        <v>10</v>
      </c>
      <c r="B3" s="49" t="s">
        <v>131</v>
      </c>
      <c r="C3" s="48" t="s">
        <v>132</v>
      </c>
      <c r="D3" s="1" t="s">
        <v>12</v>
      </c>
      <c r="E3" s="48" t="s">
        <v>133</v>
      </c>
      <c r="F3" s="1" t="s">
        <v>134</v>
      </c>
      <c r="G3" s="2" t="s">
        <v>135</v>
      </c>
      <c r="H3" s="50" t="s">
        <v>136</v>
      </c>
      <c r="I3" s="25" t="s">
        <v>12</v>
      </c>
    </row>
    <row r="4" spans="1:9" ht="16" x14ac:dyDescent="0.4">
      <c r="A4" s="37"/>
      <c r="B4" s="38"/>
      <c r="C4" s="38"/>
      <c r="D4" s="38"/>
      <c r="E4" s="38"/>
      <c r="F4" s="38"/>
      <c r="G4" s="38"/>
      <c r="H4" s="38"/>
      <c r="I4" s="39"/>
    </row>
    <row r="5" spans="1:9" ht="16" x14ac:dyDescent="0.35">
      <c r="A5" s="36" t="s">
        <v>11</v>
      </c>
      <c r="B5" s="1" t="s">
        <v>12</v>
      </c>
      <c r="C5" s="1" t="s">
        <v>12</v>
      </c>
      <c r="D5" s="1" t="s">
        <v>12</v>
      </c>
      <c r="E5" s="2" t="s">
        <v>12</v>
      </c>
      <c r="F5" s="1" t="s">
        <v>12</v>
      </c>
      <c r="G5" s="2" t="s">
        <v>12</v>
      </c>
      <c r="H5" s="10" t="s">
        <v>12</v>
      </c>
      <c r="I5" s="25" t="s">
        <v>12</v>
      </c>
    </row>
    <row r="6" spans="1:9" ht="16" x14ac:dyDescent="0.4">
      <c r="A6" s="37"/>
      <c r="B6" s="38"/>
      <c r="C6" s="38"/>
      <c r="D6" s="38"/>
      <c r="E6" s="38"/>
      <c r="F6" s="38"/>
      <c r="G6" s="38"/>
      <c r="H6" s="38"/>
      <c r="I6" s="39"/>
    </row>
    <row r="7" spans="1:9" ht="16" x14ac:dyDescent="0.35">
      <c r="A7" s="36" t="s">
        <v>13</v>
      </c>
      <c r="B7" s="1" t="s">
        <v>12</v>
      </c>
      <c r="C7" s="1" t="s">
        <v>12</v>
      </c>
      <c r="D7" s="1" t="s">
        <v>12</v>
      </c>
      <c r="E7" s="2" t="s">
        <v>12</v>
      </c>
      <c r="F7" s="1" t="s">
        <v>12</v>
      </c>
      <c r="G7" s="2" t="s">
        <v>12</v>
      </c>
      <c r="H7" s="10" t="s">
        <v>12</v>
      </c>
      <c r="I7" s="25" t="s">
        <v>12</v>
      </c>
    </row>
    <row r="8" spans="1:9" ht="16" x14ac:dyDescent="0.4">
      <c r="A8" s="37"/>
      <c r="B8" s="38"/>
      <c r="C8" s="38"/>
      <c r="D8" s="38"/>
      <c r="E8" s="38"/>
      <c r="F8" s="38"/>
      <c r="G8" s="38"/>
      <c r="H8" s="38"/>
      <c r="I8" s="39"/>
    </row>
    <row r="9" spans="1:9" ht="16" x14ac:dyDescent="0.35">
      <c r="A9" s="36" t="s">
        <v>14</v>
      </c>
      <c r="B9" s="1" t="s">
        <v>12</v>
      </c>
      <c r="C9" s="1" t="s">
        <v>12</v>
      </c>
      <c r="D9" s="1" t="s">
        <v>12</v>
      </c>
      <c r="E9" s="2" t="s">
        <v>12</v>
      </c>
      <c r="F9" s="1" t="s">
        <v>12</v>
      </c>
      <c r="G9" s="2" t="s">
        <v>12</v>
      </c>
      <c r="H9" s="10" t="s">
        <v>12</v>
      </c>
      <c r="I9" s="25" t="s">
        <v>12</v>
      </c>
    </row>
    <row r="10" spans="1:9" ht="16" x14ac:dyDescent="0.4">
      <c r="A10" s="37"/>
      <c r="B10" s="38"/>
      <c r="C10" s="38"/>
      <c r="D10" s="38"/>
      <c r="E10" s="38"/>
      <c r="F10" s="38"/>
      <c r="G10" s="38"/>
      <c r="H10" s="38"/>
      <c r="I10" s="39"/>
    </row>
    <row r="11" spans="1:9" ht="16" x14ac:dyDescent="0.35">
      <c r="A11" s="36" t="s">
        <v>15</v>
      </c>
      <c r="B11" s="1" t="s">
        <v>12</v>
      </c>
      <c r="C11" s="1" t="s">
        <v>12</v>
      </c>
      <c r="D11" s="1" t="s">
        <v>12</v>
      </c>
      <c r="E11" s="2" t="s">
        <v>12</v>
      </c>
      <c r="F11" s="1" t="s">
        <v>12</v>
      </c>
      <c r="G11" s="2" t="s">
        <v>12</v>
      </c>
      <c r="H11" s="10" t="s">
        <v>12</v>
      </c>
      <c r="I11" s="25" t="s">
        <v>12</v>
      </c>
    </row>
    <row r="12" spans="1:9" ht="16" x14ac:dyDescent="0.4">
      <c r="A12" s="37"/>
      <c r="B12" s="38"/>
      <c r="C12" s="38"/>
      <c r="D12" s="38"/>
      <c r="E12" s="38"/>
      <c r="F12" s="38"/>
      <c r="G12" s="38"/>
      <c r="H12" s="38"/>
      <c r="I12" s="39"/>
    </row>
    <row r="13" spans="1:9" ht="96" x14ac:dyDescent="0.35">
      <c r="A13" s="71" t="s">
        <v>16</v>
      </c>
      <c r="B13" s="49" t="s">
        <v>216</v>
      </c>
      <c r="C13" s="49" t="s">
        <v>220</v>
      </c>
      <c r="D13" s="49" t="s">
        <v>224</v>
      </c>
      <c r="E13" s="53" t="s">
        <v>228</v>
      </c>
      <c r="F13" s="49" t="s">
        <v>235</v>
      </c>
      <c r="G13" s="2" t="s">
        <v>239</v>
      </c>
      <c r="H13" s="16" t="s">
        <v>243</v>
      </c>
      <c r="I13" s="26" t="s">
        <v>246</v>
      </c>
    </row>
    <row r="14" spans="1:9" ht="80" x14ac:dyDescent="0.35">
      <c r="A14" s="71"/>
      <c r="B14" s="49" t="s">
        <v>217</v>
      </c>
      <c r="C14" s="49" t="s">
        <v>221</v>
      </c>
      <c r="D14" s="49" t="s">
        <v>225</v>
      </c>
      <c r="E14" s="53" t="s">
        <v>229</v>
      </c>
      <c r="F14" s="49" t="s">
        <v>236</v>
      </c>
      <c r="G14" s="2" t="s">
        <v>240</v>
      </c>
      <c r="H14" s="16" t="s">
        <v>244</v>
      </c>
      <c r="I14" s="26" t="s">
        <v>247</v>
      </c>
    </row>
    <row r="15" spans="1:9" ht="96" x14ac:dyDescent="0.35">
      <c r="A15" s="71"/>
      <c r="B15" s="49" t="s">
        <v>218</v>
      </c>
      <c r="C15" s="49" t="s">
        <v>222</v>
      </c>
      <c r="D15" s="49" t="s">
        <v>226</v>
      </c>
      <c r="E15" s="53" t="s">
        <v>230</v>
      </c>
      <c r="F15" s="49" t="s">
        <v>237</v>
      </c>
      <c r="G15" s="2" t="s">
        <v>241</v>
      </c>
      <c r="H15" s="16" t="s">
        <v>245</v>
      </c>
      <c r="I15" s="26" t="s">
        <v>246</v>
      </c>
    </row>
    <row r="16" spans="1:9" ht="112" x14ac:dyDescent="0.35">
      <c r="A16" s="71"/>
      <c r="B16" s="49" t="s">
        <v>219</v>
      </c>
      <c r="C16" s="49" t="s">
        <v>223</v>
      </c>
      <c r="D16" s="49" t="s">
        <v>227</v>
      </c>
      <c r="E16" s="53" t="s">
        <v>231</v>
      </c>
      <c r="F16" s="49" t="s">
        <v>238</v>
      </c>
      <c r="G16" s="66" t="s">
        <v>242</v>
      </c>
      <c r="H16" s="16" t="s">
        <v>242</v>
      </c>
      <c r="I16" s="26" t="s">
        <v>242</v>
      </c>
    </row>
    <row r="17" spans="1:9" ht="16" x14ac:dyDescent="0.4">
      <c r="A17" s="37"/>
      <c r="B17" s="38"/>
      <c r="C17" s="38"/>
      <c r="D17" s="38"/>
      <c r="E17" s="38"/>
      <c r="F17" s="38"/>
      <c r="G17" s="38"/>
      <c r="H17" s="38"/>
      <c r="I17" s="39"/>
    </row>
    <row r="18" spans="1:9" ht="16" x14ac:dyDescent="0.35">
      <c r="A18" s="36" t="s">
        <v>17</v>
      </c>
      <c r="B18" s="1" t="s">
        <v>12</v>
      </c>
      <c r="C18" s="1" t="s">
        <v>12</v>
      </c>
      <c r="D18" s="1" t="s">
        <v>12</v>
      </c>
      <c r="E18" s="2" t="s">
        <v>12</v>
      </c>
      <c r="F18" s="1" t="s">
        <v>12</v>
      </c>
      <c r="G18" s="2" t="s">
        <v>12</v>
      </c>
      <c r="H18" s="10" t="s">
        <v>12</v>
      </c>
      <c r="I18" s="25" t="s">
        <v>12</v>
      </c>
    </row>
    <row r="19" spans="1:9" ht="16" x14ac:dyDescent="0.4">
      <c r="A19" s="37"/>
      <c r="B19" s="38"/>
      <c r="C19" s="38"/>
      <c r="D19" s="38"/>
      <c r="E19" s="38"/>
      <c r="F19" s="38"/>
      <c r="G19" s="38"/>
      <c r="H19" s="38"/>
      <c r="I19" s="39"/>
    </row>
    <row r="20" spans="1:9" ht="16" x14ac:dyDescent="0.35">
      <c r="A20" s="36" t="s">
        <v>18</v>
      </c>
      <c r="B20" s="1" t="s">
        <v>12</v>
      </c>
      <c r="C20" s="1" t="s">
        <v>12</v>
      </c>
      <c r="D20" s="1" t="s">
        <v>12</v>
      </c>
      <c r="E20" s="2" t="s">
        <v>12</v>
      </c>
      <c r="F20" s="1" t="s">
        <v>12</v>
      </c>
      <c r="G20" s="2" t="s">
        <v>12</v>
      </c>
      <c r="H20" s="10" t="s">
        <v>12</v>
      </c>
      <c r="I20" s="25" t="s">
        <v>12</v>
      </c>
    </row>
    <row r="21" spans="1:9" ht="16" x14ac:dyDescent="0.4">
      <c r="A21" s="37"/>
      <c r="B21" s="38"/>
      <c r="C21" s="38"/>
      <c r="D21" s="38"/>
      <c r="E21" s="38"/>
      <c r="F21" s="38"/>
      <c r="G21" s="38"/>
      <c r="H21" s="38"/>
      <c r="I21" s="39"/>
    </row>
    <row r="22" spans="1:9" ht="16" x14ac:dyDescent="0.35">
      <c r="A22" s="36" t="s">
        <v>19</v>
      </c>
      <c r="B22" s="1" t="s">
        <v>12</v>
      </c>
      <c r="C22" s="1" t="s">
        <v>12</v>
      </c>
      <c r="D22" s="1" t="s">
        <v>12</v>
      </c>
      <c r="E22" s="2" t="s">
        <v>12</v>
      </c>
      <c r="F22" s="1" t="s">
        <v>12</v>
      </c>
      <c r="G22" s="2" t="s">
        <v>12</v>
      </c>
      <c r="H22" s="10" t="s">
        <v>12</v>
      </c>
      <c r="I22" s="25" t="s">
        <v>12</v>
      </c>
    </row>
    <row r="23" spans="1:9" ht="16" x14ac:dyDescent="0.4">
      <c r="A23" s="37"/>
      <c r="B23" s="38"/>
      <c r="C23" s="38"/>
      <c r="D23" s="38"/>
      <c r="E23" s="38"/>
      <c r="F23" s="38"/>
      <c r="G23" s="38"/>
      <c r="H23" s="38"/>
      <c r="I23" s="39"/>
    </row>
    <row r="24" spans="1:9" ht="16" x14ac:dyDescent="0.35">
      <c r="A24" s="36" t="s">
        <v>20</v>
      </c>
      <c r="B24" s="1" t="s">
        <v>12</v>
      </c>
      <c r="C24" s="1" t="s">
        <v>12</v>
      </c>
      <c r="D24" s="1" t="s">
        <v>12</v>
      </c>
      <c r="E24" s="2" t="s">
        <v>12</v>
      </c>
      <c r="F24" s="1" t="s">
        <v>12</v>
      </c>
      <c r="G24" s="2" t="s">
        <v>12</v>
      </c>
      <c r="H24" s="10" t="s">
        <v>12</v>
      </c>
      <c r="I24" s="25" t="s">
        <v>12</v>
      </c>
    </row>
    <row r="25" spans="1:9" ht="16" x14ac:dyDescent="0.4">
      <c r="A25" s="37"/>
      <c r="B25" s="38"/>
      <c r="C25" s="38"/>
      <c r="D25" s="38"/>
      <c r="E25" s="38"/>
      <c r="F25" s="38"/>
      <c r="G25" s="38"/>
      <c r="H25" s="38"/>
      <c r="I25" s="39"/>
    </row>
    <row r="26" spans="1:9" ht="16" x14ac:dyDescent="0.35">
      <c r="A26" s="36" t="s">
        <v>21</v>
      </c>
      <c r="B26" s="1" t="s">
        <v>12</v>
      </c>
      <c r="C26" s="1" t="s">
        <v>12</v>
      </c>
      <c r="D26" s="1" t="s">
        <v>12</v>
      </c>
      <c r="E26" s="2" t="s">
        <v>12</v>
      </c>
      <c r="F26" s="1" t="s">
        <v>12</v>
      </c>
      <c r="G26" s="2" t="s">
        <v>12</v>
      </c>
      <c r="H26" s="10" t="s">
        <v>12</v>
      </c>
      <c r="I26" s="25" t="s">
        <v>12</v>
      </c>
    </row>
    <row r="27" spans="1:9" ht="16" x14ac:dyDescent="0.4">
      <c r="A27" s="37"/>
      <c r="B27" s="38"/>
      <c r="C27" s="38"/>
      <c r="D27" s="38"/>
      <c r="E27" s="38"/>
      <c r="F27" s="38"/>
      <c r="G27" s="38"/>
      <c r="H27" s="38"/>
      <c r="I27" s="39"/>
    </row>
    <row r="28" spans="1:9" ht="16" x14ac:dyDescent="0.35">
      <c r="A28" s="36" t="s">
        <v>82</v>
      </c>
      <c r="B28" s="1" t="s">
        <v>12</v>
      </c>
      <c r="C28" s="1" t="s">
        <v>12</v>
      </c>
      <c r="D28" s="1" t="s">
        <v>12</v>
      </c>
      <c r="E28" s="2" t="s">
        <v>12</v>
      </c>
      <c r="F28" s="1" t="s">
        <v>12</v>
      </c>
      <c r="G28" s="2" t="s">
        <v>12</v>
      </c>
      <c r="H28" s="10" t="s">
        <v>12</v>
      </c>
      <c r="I28" s="25" t="s">
        <v>12</v>
      </c>
    </row>
    <row r="29" spans="1:9" ht="16" x14ac:dyDescent="0.4">
      <c r="A29" s="37"/>
      <c r="B29" s="38"/>
      <c r="C29" s="38"/>
      <c r="D29" s="38"/>
      <c r="E29" s="38"/>
      <c r="F29" s="38"/>
      <c r="G29" s="38"/>
      <c r="H29" s="38"/>
      <c r="I29" s="39"/>
    </row>
    <row r="30" spans="1:9" ht="16" x14ac:dyDescent="0.35">
      <c r="A30" s="36" t="s">
        <v>88</v>
      </c>
      <c r="B30" s="1" t="s">
        <v>12</v>
      </c>
      <c r="C30" s="1" t="s">
        <v>12</v>
      </c>
      <c r="D30" s="1" t="s">
        <v>12</v>
      </c>
      <c r="E30" s="2" t="s">
        <v>12</v>
      </c>
      <c r="F30" s="1" t="s">
        <v>12</v>
      </c>
      <c r="G30" s="2" t="s">
        <v>12</v>
      </c>
      <c r="H30" s="10" t="s">
        <v>12</v>
      </c>
      <c r="I30" s="25" t="s">
        <v>12</v>
      </c>
    </row>
    <row r="31" spans="1:9" ht="16" x14ac:dyDescent="0.4">
      <c r="A31" s="37"/>
      <c r="B31" s="38"/>
      <c r="C31" s="38"/>
      <c r="D31" s="38"/>
      <c r="E31" s="38"/>
      <c r="F31" s="38"/>
      <c r="G31" s="38"/>
      <c r="H31" s="38"/>
      <c r="I31" s="39"/>
    </row>
    <row r="32" spans="1:9" ht="118" customHeight="1" x14ac:dyDescent="0.35">
      <c r="A32" s="36" t="s">
        <v>94</v>
      </c>
      <c r="B32" s="49" t="s">
        <v>380</v>
      </c>
      <c r="C32" s="90" t="s">
        <v>381</v>
      </c>
      <c r="D32" s="90"/>
      <c r="E32" s="90"/>
      <c r="F32" s="90"/>
      <c r="G32" s="90"/>
      <c r="H32" s="90"/>
      <c r="I32" s="92"/>
    </row>
    <row r="33" spans="1:9" ht="16" x14ac:dyDescent="0.4">
      <c r="A33" s="37"/>
      <c r="B33" s="38"/>
      <c r="C33" s="38"/>
      <c r="D33" s="38"/>
      <c r="E33" s="38"/>
      <c r="F33" s="38"/>
      <c r="G33" s="38"/>
      <c r="H33" s="38"/>
      <c r="I33" s="39"/>
    </row>
    <row r="34" spans="1:9" ht="16" x14ac:dyDescent="0.35">
      <c r="A34" s="36" t="s">
        <v>100</v>
      </c>
      <c r="B34" s="1" t="s">
        <v>12</v>
      </c>
      <c r="C34" s="1" t="s">
        <v>12</v>
      </c>
      <c r="D34" s="1" t="s">
        <v>12</v>
      </c>
      <c r="E34" s="2" t="s">
        <v>12</v>
      </c>
      <c r="F34" s="1" t="s">
        <v>12</v>
      </c>
      <c r="G34" s="2" t="s">
        <v>12</v>
      </c>
      <c r="H34" s="10" t="s">
        <v>12</v>
      </c>
      <c r="I34" s="25" t="s">
        <v>12</v>
      </c>
    </row>
    <row r="35" spans="1:9" ht="16" x14ac:dyDescent="0.4">
      <c r="A35" s="37"/>
      <c r="B35" s="38"/>
      <c r="C35" s="38"/>
      <c r="D35" s="38"/>
      <c r="E35" s="38"/>
      <c r="F35" s="38"/>
      <c r="G35" s="38"/>
      <c r="H35" s="38"/>
      <c r="I35" s="39"/>
    </row>
    <row r="36" spans="1:9" ht="16" x14ac:dyDescent="0.35">
      <c r="A36" s="36" t="s">
        <v>105</v>
      </c>
      <c r="B36" s="1" t="s">
        <v>12</v>
      </c>
      <c r="C36" s="1" t="s">
        <v>12</v>
      </c>
      <c r="D36" s="1" t="s">
        <v>12</v>
      </c>
      <c r="E36" s="2" t="s">
        <v>12</v>
      </c>
      <c r="F36" s="1" t="s">
        <v>12</v>
      </c>
      <c r="G36" s="2" t="s">
        <v>12</v>
      </c>
      <c r="H36" s="10" t="s">
        <v>12</v>
      </c>
      <c r="I36" s="25" t="s">
        <v>12</v>
      </c>
    </row>
    <row r="37" spans="1:9" ht="16.5" thickBot="1" x14ac:dyDescent="0.45">
      <c r="A37" s="59"/>
      <c r="B37" s="60"/>
      <c r="C37" s="60"/>
      <c r="D37" s="60"/>
      <c r="E37" s="60"/>
      <c r="F37" s="60"/>
      <c r="G37" s="60"/>
      <c r="H37" s="60"/>
      <c r="I37" s="61"/>
    </row>
  </sheetData>
  <mergeCells count="3">
    <mergeCell ref="A1:I1"/>
    <mergeCell ref="A13:A16"/>
    <mergeCell ref="C32:I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ECD5-2D00-4EA5-8221-C15D3A30908E}">
  <dimension ref="A1:I50"/>
  <sheetViews>
    <sheetView workbookViewId="0">
      <selection activeCell="I9" sqref="I9"/>
    </sheetView>
  </sheetViews>
  <sheetFormatPr defaultRowHeight="14.5" x14ac:dyDescent="0.35"/>
  <cols>
    <col min="2" max="2" width="22" customWidth="1"/>
    <col min="3" max="3" width="15.7265625" customWidth="1"/>
    <col min="4" max="4" width="17.453125" customWidth="1"/>
    <col min="5" max="5" width="18.1796875" customWidth="1"/>
    <col min="6" max="6" width="17.36328125" customWidth="1"/>
    <col min="7" max="7" width="18.08984375" customWidth="1"/>
    <col min="8" max="8" width="17.453125" customWidth="1"/>
    <col min="9" max="9" width="19.54296875" customWidth="1"/>
  </cols>
  <sheetData>
    <row r="1" spans="1:9" ht="23.5" x14ac:dyDescent="0.55000000000000004">
      <c r="A1" s="83" t="s">
        <v>141</v>
      </c>
      <c r="B1" s="84"/>
      <c r="C1" s="84"/>
      <c r="D1" s="84"/>
      <c r="E1" s="84"/>
      <c r="F1" s="84"/>
      <c r="G1" s="84"/>
      <c r="H1" s="85"/>
      <c r="I1" s="47"/>
    </row>
    <row r="2" spans="1:9" ht="32" x14ac:dyDescent="0.35">
      <c r="A2" s="20" t="s">
        <v>9</v>
      </c>
      <c r="B2" s="9" t="s">
        <v>140</v>
      </c>
      <c r="C2" s="9" t="s">
        <v>119</v>
      </c>
      <c r="D2" s="9" t="s">
        <v>121</v>
      </c>
      <c r="E2" s="9" t="s">
        <v>122</v>
      </c>
      <c r="F2" s="9" t="s">
        <v>158</v>
      </c>
      <c r="G2" s="9" t="s">
        <v>159</v>
      </c>
      <c r="H2" s="21" t="s">
        <v>125</v>
      </c>
      <c r="I2" s="33"/>
    </row>
    <row r="3" spans="1:9" ht="16" x14ac:dyDescent="0.35">
      <c r="A3" s="36" t="s">
        <v>10</v>
      </c>
      <c r="B3" s="1" t="s">
        <v>12</v>
      </c>
      <c r="C3" s="1" t="s">
        <v>12</v>
      </c>
      <c r="D3" s="1" t="s">
        <v>12</v>
      </c>
      <c r="E3" s="1" t="s">
        <v>12</v>
      </c>
      <c r="F3" s="1" t="s">
        <v>12</v>
      </c>
      <c r="G3" s="1" t="s">
        <v>12</v>
      </c>
      <c r="H3" s="25" t="s">
        <v>12</v>
      </c>
      <c r="I3" s="34"/>
    </row>
    <row r="4" spans="1:9" ht="16" x14ac:dyDescent="0.4">
      <c r="A4" s="37"/>
      <c r="B4" s="38"/>
      <c r="C4" s="38"/>
      <c r="D4" s="38"/>
      <c r="E4" s="38"/>
      <c r="F4" s="38"/>
      <c r="G4" s="38"/>
      <c r="H4" s="39"/>
      <c r="I4" s="4"/>
    </row>
    <row r="5" spans="1:9" ht="16" x14ac:dyDescent="0.35">
      <c r="A5" s="36" t="s">
        <v>11</v>
      </c>
      <c r="B5" s="1" t="s">
        <v>12</v>
      </c>
      <c r="C5" s="1" t="s">
        <v>12</v>
      </c>
      <c r="D5" s="1" t="s">
        <v>12</v>
      </c>
      <c r="E5" s="2" t="s">
        <v>12</v>
      </c>
      <c r="F5" s="1" t="s">
        <v>12</v>
      </c>
      <c r="G5" s="2" t="s">
        <v>12</v>
      </c>
      <c r="H5" s="67" t="s">
        <v>12</v>
      </c>
      <c r="I5" s="34"/>
    </row>
    <row r="6" spans="1:9" ht="16" x14ac:dyDescent="0.4">
      <c r="A6" s="37"/>
      <c r="B6" s="38"/>
      <c r="C6" s="38"/>
      <c r="D6" s="38"/>
      <c r="E6" s="38"/>
      <c r="F6" s="38"/>
      <c r="G6" s="38"/>
      <c r="H6" s="39"/>
      <c r="I6" s="4"/>
    </row>
    <row r="7" spans="1:9" ht="32" x14ac:dyDescent="0.35">
      <c r="A7" s="71" t="s">
        <v>13</v>
      </c>
      <c r="B7" s="96" t="s">
        <v>142</v>
      </c>
      <c r="C7" s="49" t="s">
        <v>143</v>
      </c>
      <c r="D7" s="49" t="s">
        <v>148</v>
      </c>
      <c r="E7" s="53" t="s">
        <v>153</v>
      </c>
      <c r="F7" s="52" t="s">
        <v>147</v>
      </c>
      <c r="G7" s="97" t="s">
        <v>160</v>
      </c>
      <c r="H7" s="68" t="s">
        <v>161</v>
      </c>
      <c r="I7" s="34"/>
    </row>
    <row r="8" spans="1:9" ht="48" x14ac:dyDescent="0.35">
      <c r="A8" s="71"/>
      <c r="B8" s="96"/>
      <c r="C8" s="49" t="s">
        <v>144</v>
      </c>
      <c r="D8" s="49" t="s">
        <v>149</v>
      </c>
      <c r="E8" s="53" t="s">
        <v>154</v>
      </c>
      <c r="F8" s="52" t="s">
        <v>147</v>
      </c>
      <c r="G8" s="97"/>
      <c r="H8" s="68" t="s">
        <v>161</v>
      </c>
      <c r="I8" s="34"/>
    </row>
    <row r="9" spans="1:9" ht="32" x14ac:dyDescent="0.35">
      <c r="A9" s="71"/>
      <c r="B9" s="96"/>
      <c r="C9" s="49" t="s">
        <v>145</v>
      </c>
      <c r="D9" s="49" t="s">
        <v>150</v>
      </c>
      <c r="E9" s="53" t="s">
        <v>155</v>
      </c>
      <c r="F9" s="52" t="s">
        <v>147</v>
      </c>
      <c r="G9" s="97"/>
      <c r="H9" s="68" t="s">
        <v>161</v>
      </c>
      <c r="I9" s="34"/>
    </row>
    <row r="10" spans="1:9" ht="96" x14ac:dyDescent="0.35">
      <c r="A10" s="71"/>
      <c r="B10" s="96"/>
      <c r="C10" s="49" t="s">
        <v>146</v>
      </c>
      <c r="D10" s="49" t="s">
        <v>151</v>
      </c>
      <c r="E10" s="53" t="s">
        <v>156</v>
      </c>
      <c r="F10" s="52" t="s">
        <v>147</v>
      </c>
      <c r="G10" s="97"/>
      <c r="H10" s="68" t="s">
        <v>161</v>
      </c>
      <c r="I10" s="34"/>
    </row>
    <row r="11" spans="1:9" ht="48" x14ac:dyDescent="0.35">
      <c r="A11" s="71"/>
      <c r="B11" s="96"/>
      <c r="C11" s="49" t="s">
        <v>147</v>
      </c>
      <c r="D11" s="49" t="s">
        <v>152</v>
      </c>
      <c r="E11" s="53" t="s">
        <v>157</v>
      </c>
      <c r="F11" s="52" t="s">
        <v>147</v>
      </c>
      <c r="G11" s="97"/>
      <c r="H11" s="68" t="s">
        <v>161</v>
      </c>
      <c r="I11" s="34"/>
    </row>
    <row r="12" spans="1:9" ht="16" x14ac:dyDescent="0.4">
      <c r="A12" s="37"/>
      <c r="B12" s="38"/>
      <c r="C12" s="38"/>
      <c r="D12" s="38"/>
      <c r="E12" s="38"/>
      <c r="F12" s="38"/>
      <c r="G12" s="38"/>
      <c r="H12" s="39"/>
      <c r="I12" s="4"/>
    </row>
    <row r="13" spans="1:9" ht="16" x14ac:dyDescent="0.35">
      <c r="A13" s="36" t="s">
        <v>14</v>
      </c>
      <c r="B13" s="1" t="s">
        <v>12</v>
      </c>
      <c r="C13" s="1" t="s">
        <v>12</v>
      </c>
      <c r="D13" s="1" t="s">
        <v>12</v>
      </c>
      <c r="E13" s="2" t="s">
        <v>12</v>
      </c>
      <c r="F13" s="1" t="s">
        <v>12</v>
      </c>
      <c r="G13" s="2" t="s">
        <v>12</v>
      </c>
      <c r="H13" s="67" t="s">
        <v>12</v>
      </c>
      <c r="I13" s="34"/>
    </row>
    <row r="14" spans="1:9" ht="16" x14ac:dyDescent="0.4">
      <c r="A14" s="37"/>
      <c r="B14" s="38"/>
      <c r="C14" s="38"/>
      <c r="D14" s="38"/>
      <c r="E14" s="38"/>
      <c r="F14" s="38"/>
      <c r="G14" s="38"/>
      <c r="H14" s="39"/>
      <c r="I14" s="4"/>
    </row>
    <row r="15" spans="1:9" ht="16" x14ac:dyDescent="0.35">
      <c r="A15" s="36" t="s">
        <v>15</v>
      </c>
      <c r="B15" s="1" t="s">
        <v>12</v>
      </c>
      <c r="C15" s="1" t="s">
        <v>12</v>
      </c>
      <c r="D15" s="1" t="s">
        <v>12</v>
      </c>
      <c r="E15" s="2" t="s">
        <v>12</v>
      </c>
      <c r="F15" s="1" t="s">
        <v>12</v>
      </c>
      <c r="G15" s="2" t="s">
        <v>12</v>
      </c>
      <c r="H15" s="67" t="s">
        <v>12</v>
      </c>
      <c r="I15" s="34"/>
    </row>
    <row r="16" spans="1:9" ht="16" x14ac:dyDescent="0.4">
      <c r="A16" s="37"/>
      <c r="B16" s="38"/>
      <c r="C16" s="38"/>
      <c r="D16" s="38"/>
      <c r="E16" s="38"/>
      <c r="F16" s="38"/>
      <c r="G16" s="38"/>
      <c r="H16" s="39"/>
      <c r="I16" s="4"/>
    </row>
    <row r="17" spans="1:9" ht="16" x14ac:dyDescent="0.35">
      <c r="A17" s="36" t="s">
        <v>16</v>
      </c>
      <c r="B17" s="1" t="s">
        <v>12</v>
      </c>
      <c r="C17" s="1" t="s">
        <v>12</v>
      </c>
      <c r="D17" s="1" t="s">
        <v>12</v>
      </c>
      <c r="E17" s="2" t="s">
        <v>12</v>
      </c>
      <c r="F17" s="1" t="s">
        <v>12</v>
      </c>
      <c r="G17" s="2" t="s">
        <v>12</v>
      </c>
      <c r="H17" s="67" t="s">
        <v>12</v>
      </c>
      <c r="I17" s="43"/>
    </row>
    <row r="18" spans="1:9" ht="16" x14ac:dyDescent="0.4">
      <c r="A18" s="37"/>
      <c r="B18" s="38"/>
      <c r="C18" s="38"/>
      <c r="D18" s="38"/>
      <c r="E18" s="38"/>
      <c r="F18" s="38"/>
      <c r="G18" s="38"/>
      <c r="H18" s="39"/>
      <c r="I18" s="4"/>
    </row>
    <row r="19" spans="1:9" ht="16" x14ac:dyDescent="0.35">
      <c r="A19" s="36" t="s">
        <v>17</v>
      </c>
      <c r="B19" s="1" t="s">
        <v>12</v>
      </c>
      <c r="C19" s="1" t="s">
        <v>12</v>
      </c>
      <c r="D19" s="1" t="s">
        <v>12</v>
      </c>
      <c r="E19" s="2" t="s">
        <v>12</v>
      </c>
      <c r="F19" s="1" t="s">
        <v>12</v>
      </c>
      <c r="G19" s="2" t="s">
        <v>12</v>
      </c>
      <c r="H19" s="67" t="s">
        <v>12</v>
      </c>
      <c r="I19" s="34"/>
    </row>
    <row r="20" spans="1:9" ht="16" x14ac:dyDescent="0.4">
      <c r="A20" s="37"/>
      <c r="B20" s="38"/>
      <c r="C20" s="38"/>
      <c r="D20" s="38"/>
      <c r="E20" s="38"/>
      <c r="F20" s="38"/>
      <c r="G20" s="38"/>
      <c r="H20" s="39"/>
      <c r="I20" s="4"/>
    </row>
    <row r="21" spans="1:9" ht="48" x14ac:dyDescent="0.35">
      <c r="A21" s="71" t="s">
        <v>18</v>
      </c>
      <c r="B21" s="49" t="s">
        <v>259</v>
      </c>
      <c r="C21" s="49" t="s">
        <v>260</v>
      </c>
      <c r="D21" s="49" t="s">
        <v>263</v>
      </c>
      <c r="E21" s="53" t="s">
        <v>265</v>
      </c>
      <c r="F21" s="49" t="s">
        <v>266</v>
      </c>
      <c r="G21" s="53" t="s">
        <v>268</v>
      </c>
      <c r="H21" s="69" t="s">
        <v>269</v>
      </c>
      <c r="I21" s="34"/>
    </row>
    <row r="22" spans="1:9" ht="48" x14ac:dyDescent="0.35">
      <c r="A22" s="71"/>
      <c r="B22" s="49" t="s">
        <v>261</v>
      </c>
      <c r="C22" s="49" t="s">
        <v>262</v>
      </c>
      <c r="D22" s="49" t="s">
        <v>264</v>
      </c>
      <c r="E22" s="53"/>
      <c r="F22" s="49" t="s">
        <v>267</v>
      </c>
      <c r="G22" s="53"/>
      <c r="H22" s="69" t="s">
        <v>269</v>
      </c>
      <c r="I22" s="34"/>
    </row>
    <row r="23" spans="1:9" ht="48" x14ac:dyDescent="0.35">
      <c r="A23" s="71"/>
      <c r="B23" s="49" t="s">
        <v>270</v>
      </c>
      <c r="C23" s="49" t="s">
        <v>271</v>
      </c>
      <c r="D23" s="49" t="s">
        <v>272</v>
      </c>
      <c r="E23" s="53"/>
      <c r="F23" s="49" t="s">
        <v>276</v>
      </c>
      <c r="G23" s="53"/>
      <c r="H23" s="69" t="s">
        <v>269</v>
      </c>
      <c r="I23" s="34"/>
    </row>
    <row r="24" spans="1:9" ht="48" x14ac:dyDescent="0.35">
      <c r="A24" s="71"/>
      <c r="B24" s="49" t="s">
        <v>273</v>
      </c>
      <c r="C24" s="49" t="s">
        <v>274</v>
      </c>
      <c r="D24" s="49" t="s">
        <v>275</v>
      </c>
      <c r="E24" s="53"/>
      <c r="F24" s="49" t="s">
        <v>276</v>
      </c>
      <c r="G24" s="53"/>
      <c r="H24" s="69" t="s">
        <v>269</v>
      </c>
      <c r="I24" s="34"/>
    </row>
    <row r="25" spans="1:9" ht="16" x14ac:dyDescent="0.4">
      <c r="A25" s="37"/>
      <c r="B25" s="38"/>
      <c r="C25" s="38"/>
      <c r="D25" s="38"/>
      <c r="E25" s="38"/>
      <c r="F25" s="38"/>
      <c r="G25" s="38"/>
      <c r="H25" s="39"/>
      <c r="I25" s="4"/>
    </row>
    <row r="26" spans="1:9" ht="224" x14ac:dyDescent="0.35">
      <c r="A26" s="71" t="s">
        <v>19</v>
      </c>
      <c r="B26" s="49" t="s">
        <v>285</v>
      </c>
      <c r="C26" s="49">
        <v>17</v>
      </c>
      <c r="D26" s="49" t="s">
        <v>288</v>
      </c>
      <c r="E26" s="53" t="s">
        <v>291</v>
      </c>
      <c r="F26" s="49" t="s">
        <v>294</v>
      </c>
      <c r="G26" s="53" t="s">
        <v>297</v>
      </c>
      <c r="H26" s="69" t="s">
        <v>300</v>
      </c>
      <c r="I26" s="34"/>
    </row>
    <row r="27" spans="1:9" ht="112" x14ac:dyDescent="0.35">
      <c r="A27" s="71"/>
      <c r="B27" s="49" t="s">
        <v>286</v>
      </c>
      <c r="C27" s="49"/>
      <c r="D27" s="49" t="s">
        <v>289</v>
      </c>
      <c r="E27" s="53" t="s">
        <v>292</v>
      </c>
      <c r="F27" s="49" t="s">
        <v>295</v>
      </c>
      <c r="G27" s="53" t="s">
        <v>298</v>
      </c>
      <c r="H27" s="69" t="s">
        <v>301</v>
      </c>
      <c r="I27" s="34"/>
    </row>
    <row r="28" spans="1:9" ht="64" x14ac:dyDescent="0.35">
      <c r="A28" s="71"/>
      <c r="B28" s="49" t="s">
        <v>287</v>
      </c>
      <c r="C28" s="49"/>
      <c r="D28" s="49" t="s">
        <v>290</v>
      </c>
      <c r="E28" s="53" t="s">
        <v>293</v>
      </c>
      <c r="F28" s="49" t="s">
        <v>296</v>
      </c>
      <c r="G28" s="53" t="s">
        <v>299</v>
      </c>
      <c r="H28" s="69" t="s">
        <v>302</v>
      </c>
      <c r="I28" s="34"/>
    </row>
    <row r="29" spans="1:9" ht="16" x14ac:dyDescent="0.4">
      <c r="A29" s="37"/>
      <c r="B29" s="38"/>
      <c r="C29" s="38"/>
      <c r="D29" s="38"/>
      <c r="E29" s="38"/>
      <c r="F29" s="38"/>
      <c r="G29" s="38"/>
      <c r="H29" s="39"/>
      <c r="I29" s="4"/>
    </row>
    <row r="30" spans="1:9" ht="48" x14ac:dyDescent="0.35">
      <c r="A30" s="36" t="s">
        <v>20</v>
      </c>
      <c r="B30" s="49" t="s">
        <v>314</v>
      </c>
      <c r="C30" s="49" t="s">
        <v>315</v>
      </c>
      <c r="D30" s="49" t="s">
        <v>316</v>
      </c>
      <c r="E30" s="53" t="s">
        <v>317</v>
      </c>
      <c r="F30" s="49" t="s">
        <v>318</v>
      </c>
      <c r="G30" s="53" t="s">
        <v>319</v>
      </c>
      <c r="H30" s="64" t="s">
        <v>320</v>
      </c>
      <c r="I30" s="43"/>
    </row>
    <row r="31" spans="1:9" ht="16" x14ac:dyDescent="0.4">
      <c r="A31" s="37"/>
      <c r="B31" s="38"/>
      <c r="C31" s="38"/>
      <c r="D31" s="38"/>
      <c r="E31" s="38"/>
      <c r="F31" s="38"/>
      <c r="G31" s="38"/>
      <c r="H31" s="39"/>
      <c r="I31" s="4"/>
    </row>
    <row r="32" spans="1:9" ht="32" x14ac:dyDescent="0.35">
      <c r="A32" s="71" t="s">
        <v>21</v>
      </c>
      <c r="B32" s="49" t="s">
        <v>329</v>
      </c>
      <c r="C32" s="49" t="s">
        <v>330</v>
      </c>
      <c r="D32" s="49" t="s">
        <v>335</v>
      </c>
      <c r="E32" s="53" t="s">
        <v>341</v>
      </c>
      <c r="F32" s="49" t="s">
        <v>12</v>
      </c>
      <c r="G32" s="93" t="s">
        <v>348</v>
      </c>
      <c r="H32" s="94" t="s">
        <v>349</v>
      </c>
      <c r="I32" s="34"/>
    </row>
    <row r="33" spans="1:9" ht="16" x14ac:dyDescent="0.35">
      <c r="A33" s="71"/>
      <c r="B33" s="49"/>
      <c r="C33" s="49"/>
      <c r="D33" s="49" t="s">
        <v>336</v>
      </c>
      <c r="E33" s="53" t="s">
        <v>342</v>
      </c>
      <c r="F33" s="49" t="s">
        <v>12</v>
      </c>
      <c r="G33" s="93"/>
      <c r="H33" s="94"/>
      <c r="I33" s="34"/>
    </row>
    <row r="34" spans="1:9" ht="32" x14ac:dyDescent="0.35">
      <c r="A34" s="71"/>
      <c r="B34" s="49"/>
      <c r="C34" s="49" t="s">
        <v>331</v>
      </c>
      <c r="D34" s="49" t="s">
        <v>337</v>
      </c>
      <c r="E34" s="53" t="s">
        <v>343</v>
      </c>
      <c r="F34" s="49" t="s">
        <v>12</v>
      </c>
      <c r="G34" s="93"/>
      <c r="H34" s="94"/>
      <c r="I34" s="34"/>
    </row>
    <row r="35" spans="1:9" ht="32" x14ac:dyDescent="0.35">
      <c r="A35" s="71"/>
      <c r="B35" s="49"/>
      <c r="C35" s="49" t="s">
        <v>332</v>
      </c>
      <c r="D35" s="49" t="s">
        <v>338</v>
      </c>
      <c r="E35" s="53" t="s">
        <v>344</v>
      </c>
      <c r="F35" s="49" t="s">
        <v>12</v>
      </c>
      <c r="G35" s="93"/>
      <c r="H35" s="94"/>
      <c r="I35" s="34"/>
    </row>
    <row r="36" spans="1:9" ht="32" x14ac:dyDescent="0.35">
      <c r="A36" s="71"/>
      <c r="B36" s="49"/>
      <c r="C36" s="49" t="s">
        <v>333</v>
      </c>
      <c r="D36" s="49" t="s">
        <v>339</v>
      </c>
      <c r="E36" s="53" t="s">
        <v>345</v>
      </c>
      <c r="F36" s="49" t="s">
        <v>12</v>
      </c>
      <c r="G36" s="93"/>
      <c r="H36" s="94"/>
      <c r="I36" s="34"/>
    </row>
    <row r="37" spans="1:9" ht="32" x14ac:dyDescent="0.35">
      <c r="A37" s="71"/>
      <c r="B37" s="49"/>
      <c r="C37" s="49" t="s">
        <v>334</v>
      </c>
      <c r="D37" s="49" t="s">
        <v>340</v>
      </c>
      <c r="E37" s="53" t="s">
        <v>346</v>
      </c>
      <c r="F37" s="49" t="s">
        <v>12</v>
      </c>
      <c r="G37" s="93"/>
      <c r="H37" s="94"/>
      <c r="I37" s="34"/>
    </row>
    <row r="38" spans="1:9" ht="32" x14ac:dyDescent="0.35">
      <c r="A38" s="71"/>
      <c r="B38" s="49"/>
      <c r="C38" s="49" t="s">
        <v>323</v>
      </c>
      <c r="D38" s="49" t="s">
        <v>326</v>
      </c>
      <c r="E38" s="53" t="s">
        <v>347</v>
      </c>
      <c r="F38" s="49" t="s">
        <v>12</v>
      </c>
      <c r="G38" s="93"/>
      <c r="H38" s="94"/>
      <c r="I38" s="34"/>
    </row>
    <row r="39" spans="1:9" ht="16" x14ac:dyDescent="0.4">
      <c r="A39" s="37"/>
      <c r="B39" s="38"/>
      <c r="C39" s="38"/>
      <c r="D39" s="38"/>
      <c r="E39" s="38"/>
      <c r="F39" s="38"/>
      <c r="G39" s="38"/>
      <c r="H39" s="39"/>
      <c r="I39" s="4"/>
    </row>
    <row r="40" spans="1:9" ht="16" x14ac:dyDescent="0.35">
      <c r="A40" s="36" t="s">
        <v>82</v>
      </c>
      <c r="B40" s="1" t="s">
        <v>12</v>
      </c>
      <c r="C40" s="1" t="s">
        <v>12</v>
      </c>
      <c r="D40" s="1" t="s">
        <v>12</v>
      </c>
      <c r="E40" s="2" t="s">
        <v>12</v>
      </c>
      <c r="F40" s="1" t="s">
        <v>12</v>
      </c>
      <c r="G40" s="2" t="s">
        <v>12</v>
      </c>
      <c r="H40" s="67" t="s">
        <v>12</v>
      </c>
      <c r="I40" s="34"/>
    </row>
    <row r="41" spans="1:9" ht="16" x14ac:dyDescent="0.4">
      <c r="A41" s="37"/>
      <c r="B41" s="38"/>
      <c r="C41" s="38"/>
      <c r="D41" s="38"/>
      <c r="E41" s="38"/>
      <c r="F41" s="38"/>
      <c r="G41" s="38"/>
      <c r="H41" s="39"/>
      <c r="I41" s="4"/>
    </row>
    <row r="42" spans="1:9" ht="160" x14ac:dyDescent="0.35">
      <c r="A42" s="71" t="s">
        <v>88</v>
      </c>
      <c r="B42" s="49" t="s">
        <v>364</v>
      </c>
      <c r="C42" s="49" t="s">
        <v>366</v>
      </c>
      <c r="D42" s="49" t="s">
        <v>368</v>
      </c>
      <c r="E42" s="53" t="s">
        <v>370</v>
      </c>
      <c r="F42" s="49" t="s">
        <v>371</v>
      </c>
      <c r="G42" s="53" t="s">
        <v>372</v>
      </c>
      <c r="H42" s="70" t="s">
        <v>374</v>
      </c>
      <c r="I42" s="34"/>
    </row>
    <row r="43" spans="1:9" ht="80" x14ac:dyDescent="0.35">
      <c r="A43" s="71"/>
      <c r="B43" s="49" t="s">
        <v>365</v>
      </c>
      <c r="C43" s="49" t="s">
        <v>367</v>
      </c>
      <c r="D43" s="49" t="s">
        <v>369</v>
      </c>
      <c r="E43" s="53" t="s">
        <v>147</v>
      </c>
      <c r="F43" s="53" t="s">
        <v>147</v>
      </c>
      <c r="G43" s="53" t="s">
        <v>373</v>
      </c>
      <c r="H43" s="70" t="s">
        <v>375</v>
      </c>
      <c r="I43" s="34"/>
    </row>
    <row r="44" spans="1:9" ht="16" x14ac:dyDescent="0.4">
      <c r="A44" s="37"/>
      <c r="B44" s="38"/>
      <c r="C44" s="38"/>
      <c r="D44" s="38"/>
      <c r="E44" s="38"/>
      <c r="F44" s="38"/>
      <c r="G44" s="38"/>
      <c r="H44" s="39"/>
      <c r="I44" s="4"/>
    </row>
    <row r="45" spans="1:9" ht="32" x14ac:dyDescent="0.35">
      <c r="A45" s="36" t="s">
        <v>94</v>
      </c>
      <c r="B45" s="49" t="s">
        <v>382</v>
      </c>
      <c r="C45" s="49" t="s">
        <v>383</v>
      </c>
      <c r="D45" s="49" t="s">
        <v>384</v>
      </c>
      <c r="E45" s="93" t="s">
        <v>385</v>
      </c>
      <c r="F45" s="93"/>
      <c r="G45" s="93"/>
      <c r="H45" s="95"/>
      <c r="I45" s="34"/>
    </row>
    <row r="46" spans="1:9" ht="16" x14ac:dyDescent="0.4">
      <c r="A46" s="37"/>
      <c r="B46" s="38"/>
      <c r="C46" s="38"/>
      <c r="D46" s="38"/>
      <c r="E46" s="38"/>
      <c r="F46" s="38"/>
      <c r="G46" s="38"/>
      <c r="H46" s="39"/>
      <c r="I46" s="4"/>
    </row>
    <row r="47" spans="1:9" ht="16" x14ac:dyDescent="0.35">
      <c r="A47" s="36" t="s">
        <v>100</v>
      </c>
      <c r="B47" s="1" t="s">
        <v>12</v>
      </c>
      <c r="C47" s="1" t="s">
        <v>12</v>
      </c>
      <c r="D47" s="1" t="s">
        <v>12</v>
      </c>
      <c r="E47" s="2" t="s">
        <v>12</v>
      </c>
      <c r="F47" s="1" t="s">
        <v>12</v>
      </c>
      <c r="G47" s="2" t="s">
        <v>12</v>
      </c>
      <c r="H47" s="67" t="s">
        <v>12</v>
      </c>
      <c r="I47" s="34"/>
    </row>
    <row r="48" spans="1:9" ht="16" x14ac:dyDescent="0.4">
      <c r="A48" s="37"/>
      <c r="B48" s="38"/>
      <c r="C48" s="38"/>
      <c r="D48" s="38"/>
      <c r="E48" s="38"/>
      <c r="F48" s="38"/>
      <c r="G48" s="38"/>
      <c r="H48" s="39"/>
      <c r="I48" s="4"/>
    </row>
    <row r="49" spans="1:9" ht="16" x14ac:dyDescent="0.35">
      <c r="A49" s="36" t="s">
        <v>105</v>
      </c>
      <c r="B49" s="1" t="s">
        <v>12</v>
      </c>
      <c r="C49" s="1" t="s">
        <v>12</v>
      </c>
      <c r="D49" s="1" t="s">
        <v>12</v>
      </c>
      <c r="E49" s="2" t="s">
        <v>12</v>
      </c>
      <c r="F49" s="1" t="s">
        <v>12</v>
      </c>
      <c r="G49" s="2" t="s">
        <v>12</v>
      </c>
      <c r="H49" s="67" t="s">
        <v>12</v>
      </c>
      <c r="I49" s="34"/>
    </row>
    <row r="50" spans="1:9" ht="16.5" thickBot="1" x14ac:dyDescent="0.45">
      <c r="A50" s="59"/>
      <c r="B50" s="60"/>
      <c r="C50" s="60"/>
      <c r="D50" s="60"/>
      <c r="E50" s="60"/>
      <c r="F50" s="60"/>
      <c r="G50" s="60"/>
      <c r="H50" s="61"/>
      <c r="I50" s="4"/>
    </row>
  </sheetData>
  <mergeCells count="11">
    <mergeCell ref="E45:H45"/>
    <mergeCell ref="A7:A11"/>
    <mergeCell ref="B7:B11"/>
    <mergeCell ref="G7:G11"/>
    <mergeCell ref="A1:H1"/>
    <mergeCell ref="A21:A24"/>
    <mergeCell ref="A26:A28"/>
    <mergeCell ref="A32:A38"/>
    <mergeCell ref="G32:G38"/>
    <mergeCell ref="H32:H38"/>
    <mergeCell ref="A42:A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Consolidated</vt:lpstr>
      <vt:lpstr>Co-processing Facilitiy</vt:lpstr>
      <vt:lpstr>WTE Facilities (Biodegradable)</vt:lpstr>
      <vt:lpstr>WTE Facilities (Residual)</vt:lpstr>
      <vt:lpstr>Other Technologies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I. Abuhantash</dc:creator>
  <cp:lastModifiedBy>Mohammad I. Abuhantash</cp:lastModifiedBy>
  <dcterms:created xsi:type="dcterms:W3CDTF">2025-11-21T02:30:34Z</dcterms:created>
  <dcterms:modified xsi:type="dcterms:W3CDTF">2026-01-24T06:13:45Z</dcterms:modified>
</cp:coreProperties>
</file>